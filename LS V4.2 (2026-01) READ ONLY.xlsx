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 userName="Zegy Torres" algorithmName="SHA-512" hashValue="Hm8Ir1WXq6tWf4xobGppOEyJOjbMFydC0m2hc2zZthnwUHm90hVD14od6Uo1h+1OlnRgFZdAC2ZOBGMwqN3BNQ==" saltValue="dPxw8qiyd+ALZObfxee32g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8fd093bb4596e93/Documents/Files/Electrical Engineering/References/Design Reference Materials/z Others/"/>
    </mc:Choice>
  </mc:AlternateContent>
  <xr:revisionPtr revIDLastSave="0" documentId="8_{7D85EBF5-5F6E-4BC8-9C15-61F6FA03BF0B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Load Sched" sheetId="1" r:id="rId1"/>
    <sheet name="Other Computation" sheetId="2" r:id="rId2"/>
    <sheet name="Wiring Code" sheetId="3" r:id="rId3"/>
    <sheet name="Voltage Drop" sheetId="4" r:id="rId4"/>
    <sheet name="Short Circuit Analysis" sheetId="5" r:id="rId5"/>
    <sheet name="Table Reference" sheetId="6" r:id="rId6"/>
    <sheet name="Te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3" l="1"/>
  <c r="J103" i="2"/>
  <c r="S11" i="5"/>
  <c r="S6" i="5"/>
  <c r="J29" i="5" l="1"/>
  <c r="J30" i="5"/>
  <c r="J31" i="5"/>
  <c r="J32" i="5"/>
  <c r="J33" i="5"/>
  <c r="J34" i="5"/>
  <c r="J35" i="5"/>
  <c r="J36" i="5"/>
  <c r="J37" i="5"/>
  <c r="N37" i="5" s="1"/>
  <c r="J38" i="5"/>
  <c r="J39" i="5"/>
  <c r="J40" i="5"/>
  <c r="J41" i="5"/>
  <c r="N41" i="5" s="1"/>
  <c r="J42" i="5"/>
  <c r="J43" i="5"/>
  <c r="J44" i="5"/>
  <c r="J45" i="5"/>
  <c r="J46" i="5"/>
  <c r="J47" i="5"/>
  <c r="J48" i="5"/>
  <c r="J49" i="5"/>
  <c r="J50" i="5"/>
  <c r="J51" i="5"/>
  <c r="J52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N44" i="5" l="1"/>
  <c r="N43" i="5"/>
  <c r="N42" i="5"/>
  <c r="N40" i="5"/>
  <c r="N39" i="5"/>
  <c r="N38" i="5"/>
  <c r="N52" i="5"/>
  <c r="N36" i="5"/>
  <c r="N51" i="5"/>
  <c r="N35" i="5"/>
  <c r="N50" i="5"/>
  <c r="N34" i="5"/>
  <c r="N49" i="5"/>
  <c r="N33" i="5"/>
  <c r="N48" i="5"/>
  <c r="N32" i="5"/>
  <c r="N47" i="5"/>
  <c r="N31" i="5"/>
  <c r="N46" i="5"/>
  <c r="N30" i="5"/>
  <c r="N45" i="5"/>
  <c r="N29" i="5"/>
  <c r="K17" i="4"/>
  <c r="K18" i="4"/>
  <c r="K19" i="4"/>
  <c r="N19" i="4" s="1"/>
  <c r="K20" i="4"/>
  <c r="K21" i="4"/>
  <c r="K22" i="4"/>
  <c r="M22" i="4" s="1"/>
  <c r="K23" i="4"/>
  <c r="M23" i="4" s="1"/>
  <c r="K24" i="4"/>
  <c r="M24" i="4" s="1"/>
  <c r="K25" i="4"/>
  <c r="K26" i="4"/>
  <c r="K27" i="4"/>
  <c r="M27" i="4" s="1"/>
  <c r="K28" i="4"/>
  <c r="K29" i="4"/>
  <c r="K30" i="4"/>
  <c r="K31" i="4"/>
  <c r="K32" i="4"/>
  <c r="K33" i="4"/>
  <c r="K34" i="4"/>
  <c r="K35" i="4"/>
  <c r="K36" i="4"/>
  <c r="K37" i="4"/>
  <c r="M37" i="4" s="1"/>
  <c r="K38" i="4"/>
  <c r="M38" i="4" s="1"/>
  <c r="K39" i="4"/>
  <c r="M39" i="4" s="1"/>
  <c r="K40" i="4"/>
  <c r="K41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N34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D52" i="5"/>
  <c r="Q52" i="5" s="1"/>
  <c r="R52" i="5" s="1"/>
  <c r="D51" i="5"/>
  <c r="D50" i="5"/>
  <c r="Q50" i="5" s="1"/>
  <c r="R50" i="5" s="1"/>
  <c r="D49" i="5"/>
  <c r="Q49" i="5" s="1"/>
  <c r="R49" i="5" s="1"/>
  <c r="D48" i="5"/>
  <c r="Q48" i="5" s="1"/>
  <c r="R48" i="5" s="1"/>
  <c r="Q37" i="7"/>
  <c r="Q51" i="5" l="1"/>
  <c r="R51" i="5" s="1"/>
  <c r="M19" i="4"/>
  <c r="O19" i="4" s="1"/>
  <c r="P19" i="4" s="1"/>
  <c r="N26" i="4"/>
  <c r="M26" i="4"/>
  <c r="O26" i="4" s="1"/>
  <c r="P26" i="4" s="1"/>
  <c r="N41" i="4"/>
  <c r="M41" i="4"/>
  <c r="N25" i="4"/>
  <c r="M25" i="4"/>
  <c r="N40" i="4"/>
  <c r="M40" i="4"/>
  <c r="N21" i="4"/>
  <c r="M21" i="4"/>
  <c r="O21" i="4" s="1"/>
  <c r="P21" i="4" s="1"/>
  <c r="M36" i="4"/>
  <c r="N20" i="4"/>
  <c r="M20" i="4"/>
  <c r="O20" i="4" s="1"/>
  <c r="P20" i="4" s="1"/>
  <c r="N35" i="4"/>
  <c r="O35" i="4" s="1"/>
  <c r="P35" i="4" s="1"/>
  <c r="M35" i="4"/>
  <c r="M34" i="4"/>
  <c r="N18" i="4"/>
  <c r="M18" i="4"/>
  <c r="M33" i="4"/>
  <c r="N17" i="4"/>
  <c r="M17" i="4"/>
  <c r="M32" i="4"/>
  <c r="M31" i="4"/>
  <c r="M30" i="4"/>
  <c r="M29" i="4"/>
  <c r="M28" i="4"/>
  <c r="O41" i="4"/>
  <c r="P41" i="4" s="1"/>
  <c r="N38" i="4"/>
  <c r="N39" i="4"/>
  <c r="N30" i="4"/>
  <c r="N36" i="4"/>
  <c r="N29" i="4"/>
  <c r="N33" i="4"/>
  <c r="O25" i="4"/>
  <c r="P25" i="4" s="1"/>
  <c r="O40" i="4"/>
  <c r="P40" i="4" s="1"/>
  <c r="N24" i="4"/>
  <c r="N22" i="4"/>
  <c r="N37" i="4"/>
  <c r="O34" i="4"/>
  <c r="P34" i="4" s="1"/>
  <c r="N28" i="4"/>
  <c r="N27" i="4"/>
  <c r="N31" i="4"/>
  <c r="N32" i="4"/>
  <c r="N23" i="4"/>
  <c r="O17" i="4" l="1"/>
  <c r="P17" i="4" s="1"/>
  <c r="O18" i="4"/>
  <c r="P18" i="4" s="1"/>
  <c r="O38" i="4"/>
  <c r="P38" i="4" s="1"/>
  <c r="O33" i="4"/>
  <c r="P33" i="4" s="1"/>
  <c r="O29" i="4"/>
  <c r="P29" i="4" s="1"/>
  <c r="O36" i="4"/>
  <c r="P36" i="4" s="1"/>
  <c r="O39" i="4"/>
  <c r="P39" i="4" s="1"/>
  <c r="O30" i="4"/>
  <c r="P30" i="4" s="1"/>
  <c r="O37" i="4"/>
  <c r="P37" i="4" s="1"/>
  <c r="O22" i="4"/>
  <c r="P22" i="4" s="1"/>
  <c r="O23" i="4"/>
  <c r="P23" i="4" s="1"/>
  <c r="O24" i="4"/>
  <c r="P24" i="4" s="1"/>
  <c r="O28" i="4"/>
  <c r="P28" i="4" s="1"/>
  <c r="O27" i="4"/>
  <c r="P27" i="4" s="1"/>
  <c r="O31" i="4"/>
  <c r="P31" i="4" s="1"/>
  <c r="S51" i="5"/>
  <c r="S48" i="5"/>
  <c r="S49" i="5"/>
  <c r="S52" i="5"/>
  <c r="S50" i="5"/>
  <c r="O32" i="4"/>
  <c r="P32" i="4" s="1"/>
  <c r="D47" i="5"/>
  <c r="Q47" i="5" s="1"/>
  <c r="R47" i="5" s="1"/>
  <c r="D46" i="5"/>
  <c r="Q46" i="5" s="1"/>
  <c r="R46" i="5" s="1"/>
  <c r="D45" i="5"/>
  <c r="Q45" i="5" s="1"/>
  <c r="R45" i="5" s="1"/>
  <c r="D44" i="5"/>
  <c r="Q44" i="5" s="1"/>
  <c r="R44" i="5" s="1"/>
  <c r="D43" i="5"/>
  <c r="Q43" i="5" s="1"/>
  <c r="R43" i="5" s="1"/>
  <c r="D42" i="5"/>
  <c r="Q42" i="5" s="1"/>
  <c r="R42" i="5" s="1"/>
  <c r="D41" i="5"/>
  <c r="Q41" i="5" s="1"/>
  <c r="R41" i="5" s="1"/>
  <c r="D40" i="5"/>
  <c r="Q40" i="5" s="1"/>
  <c r="R40" i="5" s="1"/>
  <c r="D39" i="5"/>
  <c r="Q39" i="5" s="1"/>
  <c r="R39" i="5" s="1"/>
  <c r="D38" i="5"/>
  <c r="Q38" i="5" s="1"/>
  <c r="R38" i="5" s="1"/>
  <c r="D37" i="5"/>
  <c r="Q37" i="5" s="1"/>
  <c r="R37" i="5" s="1"/>
  <c r="D36" i="5"/>
  <c r="Q36" i="5" s="1"/>
  <c r="R36" i="5" s="1"/>
  <c r="D35" i="5"/>
  <c r="N3" i="4" l="1"/>
  <c r="N2" i="4"/>
  <c r="M89" i="2"/>
  <c r="D34" i="5"/>
  <c r="D33" i="5"/>
  <c r="D32" i="5"/>
  <c r="D29" i="5"/>
  <c r="D30" i="5"/>
  <c r="D31" i="5"/>
  <c r="F26" i="5"/>
  <c r="S41" i="5" l="1"/>
  <c r="S46" i="5"/>
  <c r="S45" i="5"/>
  <c r="S40" i="5"/>
  <c r="S37" i="5"/>
  <c r="S47" i="5"/>
  <c r="S39" i="5"/>
  <c r="S36" i="5"/>
  <c r="S38" i="5"/>
  <c r="S44" i="5"/>
  <c r="S43" i="5"/>
  <c r="S42" i="5"/>
  <c r="C6" i="7"/>
  <c r="D6" i="7" s="1"/>
  <c r="H26" i="5"/>
  <c r="N40" i="3"/>
  <c r="K40" i="3"/>
  <c r="L26" i="3"/>
  <c r="J26" i="3"/>
  <c r="H103" i="2"/>
  <c r="I103" i="2" s="1"/>
  <c r="E103" i="2"/>
  <c r="D96" i="2"/>
  <c r="F95" i="2"/>
  <c r="E95" i="2"/>
  <c r="F94" i="2"/>
  <c r="E94" i="2"/>
  <c r="F93" i="2"/>
  <c r="E93" i="2"/>
  <c r="F92" i="2"/>
  <c r="E92" i="2"/>
  <c r="F91" i="2"/>
  <c r="E91" i="2"/>
  <c r="F90" i="2"/>
  <c r="E90" i="2"/>
  <c r="O89" i="2"/>
  <c r="P89" i="2" s="1"/>
  <c r="Q89" i="2" s="1"/>
  <c r="F89" i="2"/>
  <c r="E89" i="2"/>
  <c r="W87" i="2"/>
  <c r="X87" i="2" s="1"/>
  <c r="T87" i="2"/>
  <c r="M76" i="2"/>
  <c r="D76" i="2"/>
  <c r="I75" i="2"/>
  <c r="F75" i="2"/>
  <c r="E75" i="2"/>
  <c r="AB74" i="2"/>
  <c r="R74" i="2"/>
  <c r="O74" i="2"/>
  <c r="N74" i="2"/>
  <c r="I74" i="2"/>
  <c r="F74" i="2"/>
  <c r="E74" i="2"/>
  <c r="R73" i="2"/>
  <c r="O73" i="2"/>
  <c r="N73" i="2"/>
  <c r="I73" i="2"/>
  <c r="F73" i="2"/>
  <c r="E73" i="2"/>
  <c r="R72" i="2"/>
  <c r="O72" i="2"/>
  <c r="N72" i="2"/>
  <c r="I72" i="2"/>
  <c r="F72" i="2"/>
  <c r="E72" i="2"/>
  <c r="R71" i="2"/>
  <c r="O71" i="2"/>
  <c r="N71" i="2"/>
  <c r="I71" i="2"/>
  <c r="F71" i="2"/>
  <c r="E71" i="2"/>
  <c r="R70" i="2"/>
  <c r="O70" i="2"/>
  <c r="N70" i="2"/>
  <c r="I70" i="2"/>
  <c r="F70" i="2"/>
  <c r="E70" i="2"/>
  <c r="R69" i="2"/>
  <c r="O69" i="2"/>
  <c r="N69" i="2"/>
  <c r="I69" i="2"/>
  <c r="F69" i="2"/>
  <c r="E69" i="2"/>
  <c r="R68" i="2"/>
  <c r="O68" i="2"/>
  <c r="N68" i="2"/>
  <c r="I68" i="2"/>
  <c r="F68" i="2"/>
  <c r="E68" i="2"/>
  <c r="AB67" i="2"/>
  <c r="R67" i="2"/>
  <c r="O67" i="2"/>
  <c r="N67" i="2"/>
  <c r="I67" i="2"/>
  <c r="F67" i="2"/>
  <c r="E67" i="2"/>
  <c r="R66" i="2"/>
  <c r="O66" i="2"/>
  <c r="N66" i="2"/>
  <c r="I66" i="2"/>
  <c r="F66" i="2"/>
  <c r="E66" i="2"/>
  <c r="AB53" i="2" a="1"/>
  <c r="AB53" i="2" s="1"/>
  <c r="AC53" i="2" s="1"/>
  <c r="AF53" i="2" s="1"/>
  <c r="Z53" i="2" a="1"/>
  <c r="Z53" i="2" s="1"/>
  <c r="AA53" i="2" s="1"/>
  <c r="AB47" i="2" a="1"/>
  <c r="AB47" i="2" s="1"/>
  <c r="AC47" i="2" s="1"/>
  <c r="AF47" i="2" s="1"/>
  <c r="Z47" i="2" a="1"/>
  <c r="Z47" i="2" s="1"/>
  <c r="AA47" i="2" s="1"/>
  <c r="AB41" i="2" a="1"/>
  <c r="AB41" i="2" s="1"/>
  <c r="AC41" i="2" s="1"/>
  <c r="Z41" i="2" a="1"/>
  <c r="Z41" i="2" s="1"/>
  <c r="AA41" i="2" s="1"/>
  <c r="S31" i="2"/>
  <c r="O31" i="2"/>
  <c r="AE29" i="2"/>
  <c r="AE28" i="2"/>
  <c r="AE27" i="2"/>
  <c r="AE26" i="2"/>
  <c r="AE25" i="2"/>
  <c r="S23" i="2"/>
  <c r="O23" i="2"/>
  <c r="AE19" i="2"/>
  <c r="AE18" i="2"/>
  <c r="AE17" i="2"/>
  <c r="AE16" i="2"/>
  <c r="AE15" i="2"/>
  <c r="O15" i="2"/>
  <c r="E15" i="2"/>
  <c r="AE14" i="2"/>
  <c r="E14" i="2"/>
  <c r="AE13" i="2"/>
  <c r="E13" i="2"/>
  <c r="AE12" i="2"/>
  <c r="E12" i="2"/>
  <c r="AE11" i="2"/>
  <c r="E11" i="2"/>
  <c r="AE10" i="2"/>
  <c r="E10" i="2"/>
  <c r="AE9" i="2"/>
  <c r="E9" i="2"/>
  <c r="AE8" i="2"/>
  <c r="E8" i="2"/>
  <c r="AE7" i="2"/>
  <c r="R7" i="2"/>
  <c r="E7" i="2"/>
  <c r="AE6" i="2"/>
  <c r="E6" i="2"/>
  <c r="AE5" i="2"/>
  <c r="E5" i="2"/>
  <c r="AE4" i="2"/>
  <c r="E4" i="2"/>
  <c r="C343" i="1"/>
  <c r="G338" i="1"/>
  <c r="M338" i="1" s="1"/>
  <c r="G337" i="1"/>
  <c r="M337" i="1" s="1"/>
  <c r="G335" i="1"/>
  <c r="M335" i="1" s="1"/>
  <c r="G334" i="1"/>
  <c r="M334" i="1" s="1"/>
  <c r="G332" i="1"/>
  <c r="M332" i="1" s="1"/>
  <c r="G331" i="1"/>
  <c r="M331" i="1" s="1"/>
  <c r="AB329" i="1"/>
  <c r="G329" i="1"/>
  <c r="M329" i="1" s="1"/>
  <c r="AB328" i="1"/>
  <c r="G328" i="1"/>
  <c r="M328" i="1" s="1"/>
  <c r="AB327" i="1"/>
  <c r="U327" i="1"/>
  <c r="AB326" i="1"/>
  <c r="U326" i="1"/>
  <c r="G326" i="1"/>
  <c r="M326" i="1" s="1"/>
  <c r="AB325" i="1"/>
  <c r="U325" i="1"/>
  <c r="G325" i="1"/>
  <c r="M325" i="1" s="1"/>
  <c r="AB324" i="1"/>
  <c r="U324" i="1"/>
  <c r="U323" i="1"/>
  <c r="G323" i="1"/>
  <c r="M323" i="1" s="1"/>
  <c r="G322" i="1"/>
  <c r="M322" i="1" s="1"/>
  <c r="G320" i="1"/>
  <c r="M320" i="1" s="1"/>
  <c r="G319" i="1"/>
  <c r="M319" i="1" s="1"/>
  <c r="G317" i="1"/>
  <c r="M317" i="1" s="1"/>
  <c r="G316" i="1"/>
  <c r="M316" i="1" s="1"/>
  <c r="G314" i="1"/>
  <c r="M314" i="1" s="1"/>
  <c r="G313" i="1"/>
  <c r="M313" i="1" s="1"/>
  <c r="AB311" i="1"/>
  <c r="G311" i="1"/>
  <c r="M311" i="1" s="1"/>
  <c r="AB310" i="1"/>
  <c r="G310" i="1"/>
  <c r="M310" i="1" s="1"/>
  <c r="AB309" i="1"/>
  <c r="AB308" i="1"/>
  <c r="G308" i="1"/>
  <c r="M308" i="1" s="1"/>
  <c r="AB307" i="1"/>
  <c r="G307" i="1"/>
  <c r="M307" i="1" s="1"/>
  <c r="AB306" i="1"/>
  <c r="G305" i="1"/>
  <c r="M305" i="1" s="1"/>
  <c r="G304" i="1"/>
  <c r="M304" i="1" s="1"/>
  <c r="G302" i="1"/>
  <c r="M302" i="1" s="1"/>
  <c r="G301" i="1"/>
  <c r="M301" i="1" s="1"/>
  <c r="G299" i="1"/>
  <c r="M299" i="1" s="1"/>
  <c r="G298" i="1"/>
  <c r="M298" i="1" s="1"/>
  <c r="G296" i="1"/>
  <c r="M296" i="1" s="1"/>
  <c r="M295" i="1"/>
  <c r="G295" i="1"/>
  <c r="C286" i="1"/>
  <c r="H286" i="1" s="1"/>
  <c r="L281" i="1"/>
  <c r="H281" i="1"/>
  <c r="L280" i="1"/>
  <c r="H280" i="1"/>
  <c r="L278" i="1"/>
  <c r="H278" i="1"/>
  <c r="L277" i="1"/>
  <c r="H277" i="1"/>
  <c r="L275" i="1"/>
  <c r="H275" i="1"/>
  <c r="L274" i="1"/>
  <c r="H274" i="1"/>
  <c r="AB272" i="1"/>
  <c r="L272" i="1"/>
  <c r="H272" i="1"/>
  <c r="AB271" i="1"/>
  <c r="L271" i="1"/>
  <c r="H271" i="1"/>
  <c r="AB270" i="1"/>
  <c r="U270" i="1"/>
  <c r="AB269" i="1"/>
  <c r="U269" i="1"/>
  <c r="L269" i="1"/>
  <c r="H269" i="1"/>
  <c r="AB268" i="1"/>
  <c r="U268" i="1"/>
  <c r="L268" i="1"/>
  <c r="H268" i="1"/>
  <c r="AB267" i="1"/>
  <c r="U267" i="1"/>
  <c r="U266" i="1"/>
  <c r="L266" i="1"/>
  <c r="H266" i="1"/>
  <c r="L265" i="1"/>
  <c r="H265" i="1"/>
  <c r="L263" i="1"/>
  <c r="H263" i="1"/>
  <c r="L262" i="1"/>
  <c r="H262" i="1"/>
  <c r="L260" i="1"/>
  <c r="H260" i="1"/>
  <c r="L259" i="1"/>
  <c r="H259" i="1"/>
  <c r="L257" i="1"/>
  <c r="H257" i="1"/>
  <c r="L256" i="1"/>
  <c r="H256" i="1"/>
  <c r="AB254" i="1"/>
  <c r="L254" i="1"/>
  <c r="H254" i="1"/>
  <c r="AB253" i="1"/>
  <c r="L253" i="1"/>
  <c r="H253" i="1"/>
  <c r="AB252" i="1"/>
  <c r="AB251" i="1"/>
  <c r="L251" i="1"/>
  <c r="H251" i="1"/>
  <c r="AB250" i="1"/>
  <c r="L250" i="1"/>
  <c r="H250" i="1"/>
  <c r="AB249" i="1"/>
  <c r="L248" i="1"/>
  <c r="H248" i="1"/>
  <c r="L247" i="1"/>
  <c r="H247" i="1"/>
  <c r="L245" i="1"/>
  <c r="H245" i="1"/>
  <c r="L244" i="1"/>
  <c r="H244" i="1"/>
  <c r="L242" i="1"/>
  <c r="H242" i="1"/>
  <c r="L241" i="1"/>
  <c r="H241" i="1"/>
  <c r="L239" i="1"/>
  <c r="H239" i="1"/>
  <c r="L238" i="1"/>
  <c r="H238" i="1"/>
  <c r="C227" i="1"/>
  <c r="B227" i="1"/>
  <c r="J222" i="1"/>
  <c r="N222" i="1" s="1"/>
  <c r="I222" i="1"/>
  <c r="M222" i="1" s="1"/>
  <c r="D222" i="1"/>
  <c r="J221" i="1"/>
  <c r="N221" i="1" s="1"/>
  <c r="I221" i="1"/>
  <c r="M221" i="1" s="1"/>
  <c r="O221" i="1" s="1"/>
  <c r="D221" i="1"/>
  <c r="J219" i="1"/>
  <c r="N219" i="1" s="1"/>
  <c r="H219" i="1"/>
  <c r="M219" i="1" s="1"/>
  <c r="D219" i="1"/>
  <c r="J218" i="1"/>
  <c r="N218" i="1" s="1"/>
  <c r="H218" i="1"/>
  <c r="M218" i="1" s="1"/>
  <c r="D218" i="1"/>
  <c r="J216" i="1"/>
  <c r="N216" i="1" s="1"/>
  <c r="G216" i="1"/>
  <c r="M216" i="1" s="1"/>
  <c r="D216" i="1"/>
  <c r="J215" i="1"/>
  <c r="N215" i="1" s="1"/>
  <c r="G215" i="1"/>
  <c r="M215" i="1" s="1"/>
  <c r="O215" i="1" s="1"/>
  <c r="D215" i="1"/>
  <c r="J213" i="1"/>
  <c r="N213" i="1" s="1"/>
  <c r="I213" i="1"/>
  <c r="M213" i="1" s="1"/>
  <c r="O213" i="1" s="1"/>
  <c r="D213" i="1"/>
  <c r="AB212" i="1"/>
  <c r="M212" i="1"/>
  <c r="J212" i="1"/>
  <c r="N212" i="1" s="1"/>
  <c r="I212" i="1"/>
  <c r="D212" i="1"/>
  <c r="AB211" i="1"/>
  <c r="AB210" i="1"/>
  <c r="J210" i="1"/>
  <c r="N210" i="1" s="1"/>
  <c r="H210" i="1"/>
  <c r="M210" i="1" s="1"/>
  <c r="D210" i="1"/>
  <c r="AB209" i="1"/>
  <c r="U209" i="1"/>
  <c r="J209" i="1"/>
  <c r="N209" i="1" s="1"/>
  <c r="H209" i="1"/>
  <c r="M209" i="1" s="1"/>
  <c r="D209" i="1"/>
  <c r="AB208" i="1"/>
  <c r="U208" i="1"/>
  <c r="AB207" i="1"/>
  <c r="U207" i="1"/>
  <c r="J207" i="1"/>
  <c r="N207" i="1" s="1"/>
  <c r="G207" i="1"/>
  <c r="M207" i="1" s="1"/>
  <c r="O207" i="1" s="1"/>
  <c r="D207" i="1"/>
  <c r="U206" i="1"/>
  <c r="J206" i="1"/>
  <c r="N206" i="1" s="1"/>
  <c r="G206" i="1"/>
  <c r="M206" i="1" s="1"/>
  <c r="D206" i="1"/>
  <c r="J204" i="1"/>
  <c r="N204" i="1" s="1"/>
  <c r="I204" i="1"/>
  <c r="M204" i="1" s="1"/>
  <c r="D204" i="1"/>
  <c r="J203" i="1"/>
  <c r="N203" i="1" s="1"/>
  <c r="I203" i="1"/>
  <c r="M203" i="1" s="1"/>
  <c r="D203" i="1"/>
  <c r="N201" i="1"/>
  <c r="J201" i="1"/>
  <c r="H201" i="1"/>
  <c r="M201" i="1" s="1"/>
  <c r="D201" i="1"/>
  <c r="J200" i="1"/>
  <c r="N200" i="1" s="1"/>
  <c r="H200" i="1"/>
  <c r="M200" i="1" s="1"/>
  <c r="D200" i="1"/>
  <c r="M198" i="1"/>
  <c r="J198" i="1"/>
  <c r="N198" i="1" s="1"/>
  <c r="G198" i="1"/>
  <c r="D198" i="1"/>
  <c r="J197" i="1"/>
  <c r="N197" i="1" s="1"/>
  <c r="G197" i="1"/>
  <c r="M197" i="1" s="1"/>
  <c r="D197" i="1"/>
  <c r="J195" i="1"/>
  <c r="N195" i="1" s="1"/>
  <c r="I195" i="1"/>
  <c r="M195" i="1" s="1"/>
  <c r="O195" i="1" s="1"/>
  <c r="D195" i="1"/>
  <c r="AB194" i="1"/>
  <c r="J194" i="1"/>
  <c r="N194" i="1" s="1"/>
  <c r="I194" i="1"/>
  <c r="M194" i="1" s="1"/>
  <c r="O194" i="1" s="1"/>
  <c r="D194" i="1"/>
  <c r="AB193" i="1"/>
  <c r="AB192" i="1"/>
  <c r="M192" i="1"/>
  <c r="J192" i="1"/>
  <c r="N192" i="1" s="1"/>
  <c r="H192" i="1"/>
  <c r="D192" i="1"/>
  <c r="AB191" i="1"/>
  <c r="J191" i="1"/>
  <c r="N191" i="1" s="1"/>
  <c r="H191" i="1"/>
  <c r="M191" i="1" s="1"/>
  <c r="D191" i="1"/>
  <c r="AB190" i="1"/>
  <c r="AB189" i="1"/>
  <c r="J189" i="1"/>
  <c r="N189" i="1" s="1"/>
  <c r="G189" i="1"/>
  <c r="M189" i="1" s="1"/>
  <c r="D189" i="1"/>
  <c r="J188" i="1"/>
  <c r="N188" i="1" s="1"/>
  <c r="G188" i="1"/>
  <c r="M188" i="1" s="1"/>
  <c r="D188" i="1"/>
  <c r="J186" i="1"/>
  <c r="N186" i="1" s="1"/>
  <c r="I186" i="1"/>
  <c r="M186" i="1" s="1"/>
  <c r="D186" i="1"/>
  <c r="J185" i="1"/>
  <c r="N185" i="1" s="1"/>
  <c r="I185" i="1"/>
  <c r="M185" i="1" s="1"/>
  <c r="D185" i="1"/>
  <c r="J183" i="1"/>
  <c r="N183" i="1" s="1"/>
  <c r="H183" i="1"/>
  <c r="M183" i="1" s="1"/>
  <c r="D183" i="1"/>
  <c r="J182" i="1"/>
  <c r="N182" i="1" s="1"/>
  <c r="H182" i="1"/>
  <c r="M182" i="1" s="1"/>
  <c r="D182" i="1"/>
  <c r="J180" i="1"/>
  <c r="N180" i="1" s="1"/>
  <c r="G180" i="1"/>
  <c r="M180" i="1" s="1"/>
  <c r="D180" i="1"/>
  <c r="J179" i="1"/>
  <c r="N179" i="1" s="1"/>
  <c r="G179" i="1"/>
  <c r="M179" i="1" s="1"/>
  <c r="D179" i="1"/>
  <c r="E170" i="1"/>
  <c r="U138" i="1" s="1"/>
  <c r="D170" i="1"/>
  <c r="C170" i="1"/>
  <c r="T126" i="1" s="1"/>
  <c r="B170" i="1"/>
  <c r="S126" i="1" s="1"/>
  <c r="N165" i="1"/>
  <c r="L165" i="1"/>
  <c r="P165" i="1" s="1"/>
  <c r="I165" i="1"/>
  <c r="H165" i="1"/>
  <c r="N164" i="1"/>
  <c r="L164" i="1"/>
  <c r="P164" i="1" s="1"/>
  <c r="I164" i="1"/>
  <c r="H164" i="1"/>
  <c r="J164" i="1" s="1"/>
  <c r="N162" i="1"/>
  <c r="L162" i="1"/>
  <c r="I162" i="1"/>
  <c r="H162" i="1"/>
  <c r="N161" i="1"/>
  <c r="L161" i="1"/>
  <c r="I161" i="1"/>
  <c r="H161" i="1"/>
  <c r="N159" i="1"/>
  <c r="L159" i="1"/>
  <c r="P159" i="1" s="1"/>
  <c r="I159" i="1"/>
  <c r="H159" i="1"/>
  <c r="N158" i="1"/>
  <c r="L158" i="1"/>
  <c r="P158" i="1" s="1"/>
  <c r="I158" i="1"/>
  <c r="H158" i="1"/>
  <c r="AB156" i="1"/>
  <c r="P156" i="1"/>
  <c r="N156" i="1"/>
  <c r="L156" i="1"/>
  <c r="I156" i="1"/>
  <c r="H156" i="1"/>
  <c r="J156" i="1" s="1"/>
  <c r="AB155" i="1"/>
  <c r="N155" i="1"/>
  <c r="L155" i="1"/>
  <c r="I155" i="1"/>
  <c r="H155" i="1"/>
  <c r="J155" i="1" s="1"/>
  <c r="AB154" i="1"/>
  <c r="U154" i="1"/>
  <c r="AB153" i="1"/>
  <c r="U153" i="1"/>
  <c r="N153" i="1"/>
  <c r="L153" i="1"/>
  <c r="I153" i="1"/>
  <c r="H153" i="1"/>
  <c r="AB152" i="1"/>
  <c r="U152" i="1"/>
  <c r="N152" i="1"/>
  <c r="L152" i="1"/>
  <c r="P152" i="1" s="1"/>
  <c r="I152" i="1"/>
  <c r="H152" i="1"/>
  <c r="J152" i="1" s="1"/>
  <c r="AB151" i="1"/>
  <c r="U151" i="1"/>
  <c r="U150" i="1"/>
  <c r="N150" i="1"/>
  <c r="L150" i="1"/>
  <c r="P150" i="1" s="1"/>
  <c r="I150" i="1"/>
  <c r="H150" i="1"/>
  <c r="P149" i="1"/>
  <c r="N149" i="1"/>
  <c r="L149" i="1"/>
  <c r="I149" i="1"/>
  <c r="H149" i="1"/>
  <c r="J149" i="1" s="1"/>
  <c r="N147" i="1"/>
  <c r="L147" i="1"/>
  <c r="P147" i="1" s="1"/>
  <c r="I147" i="1"/>
  <c r="H147" i="1"/>
  <c r="J147" i="1" s="1"/>
  <c r="N146" i="1"/>
  <c r="P146" i="1" s="1"/>
  <c r="L146" i="1"/>
  <c r="I146" i="1"/>
  <c r="H146" i="1"/>
  <c r="N144" i="1"/>
  <c r="L144" i="1"/>
  <c r="I144" i="1"/>
  <c r="H144" i="1"/>
  <c r="J144" i="1" s="1"/>
  <c r="N143" i="1"/>
  <c r="L143" i="1"/>
  <c r="I143" i="1"/>
  <c r="H143" i="1"/>
  <c r="J143" i="1" s="1"/>
  <c r="N141" i="1"/>
  <c r="L141" i="1"/>
  <c r="I141" i="1"/>
  <c r="H141" i="1"/>
  <c r="J141" i="1" s="1"/>
  <c r="N140" i="1"/>
  <c r="L140" i="1"/>
  <c r="I140" i="1"/>
  <c r="H140" i="1"/>
  <c r="J140" i="1" s="1"/>
  <c r="AB138" i="1"/>
  <c r="N138" i="1"/>
  <c r="L138" i="1"/>
  <c r="P138" i="1" s="1"/>
  <c r="I138" i="1"/>
  <c r="H138" i="1"/>
  <c r="AB137" i="1"/>
  <c r="N137" i="1"/>
  <c r="L137" i="1"/>
  <c r="P137" i="1" s="1"/>
  <c r="I137" i="1"/>
  <c r="H137" i="1"/>
  <c r="AB136" i="1"/>
  <c r="AB135" i="1"/>
  <c r="N135" i="1"/>
  <c r="L135" i="1"/>
  <c r="I135" i="1"/>
  <c r="H135" i="1"/>
  <c r="J135" i="1" s="1"/>
  <c r="AB134" i="1"/>
  <c r="N134" i="1"/>
  <c r="L134" i="1"/>
  <c r="I134" i="1"/>
  <c r="H134" i="1"/>
  <c r="AB133" i="1"/>
  <c r="N132" i="1"/>
  <c r="L132" i="1"/>
  <c r="P132" i="1" s="1"/>
  <c r="I132" i="1"/>
  <c r="H132" i="1"/>
  <c r="N131" i="1"/>
  <c r="L131" i="1"/>
  <c r="I131" i="1"/>
  <c r="H131" i="1"/>
  <c r="N129" i="1"/>
  <c r="L129" i="1"/>
  <c r="P129" i="1" s="1"/>
  <c r="I129" i="1"/>
  <c r="H129" i="1"/>
  <c r="N128" i="1"/>
  <c r="L128" i="1"/>
  <c r="I128" i="1"/>
  <c r="H128" i="1"/>
  <c r="N126" i="1"/>
  <c r="L126" i="1"/>
  <c r="I126" i="1"/>
  <c r="H126" i="1"/>
  <c r="N125" i="1"/>
  <c r="L125" i="1"/>
  <c r="I125" i="1"/>
  <c r="H125" i="1"/>
  <c r="N123" i="1"/>
  <c r="L123" i="1"/>
  <c r="I123" i="1"/>
  <c r="H123" i="1"/>
  <c r="N122" i="1"/>
  <c r="L122" i="1"/>
  <c r="I122" i="1"/>
  <c r="H122" i="1"/>
  <c r="J122" i="1" s="1"/>
  <c r="C111" i="1"/>
  <c r="B111" i="1"/>
  <c r="J106" i="1"/>
  <c r="N106" i="1" s="1"/>
  <c r="I106" i="1"/>
  <c r="M106" i="1" s="1"/>
  <c r="D106" i="1"/>
  <c r="J105" i="1"/>
  <c r="N105" i="1" s="1"/>
  <c r="I105" i="1"/>
  <c r="M105" i="1" s="1"/>
  <c r="D105" i="1"/>
  <c r="J103" i="1"/>
  <c r="N103" i="1" s="1"/>
  <c r="H103" i="1"/>
  <c r="M103" i="1" s="1"/>
  <c r="D103" i="1"/>
  <c r="J102" i="1"/>
  <c r="N102" i="1" s="1"/>
  <c r="H102" i="1"/>
  <c r="M102" i="1" s="1"/>
  <c r="D102" i="1"/>
  <c r="J100" i="1"/>
  <c r="N100" i="1" s="1"/>
  <c r="G100" i="1"/>
  <c r="M100" i="1" s="1"/>
  <c r="D100" i="1"/>
  <c r="J99" i="1"/>
  <c r="N99" i="1" s="1"/>
  <c r="G99" i="1"/>
  <c r="M99" i="1" s="1"/>
  <c r="O99" i="1" s="1"/>
  <c r="D99" i="1"/>
  <c r="J97" i="1"/>
  <c r="N97" i="1" s="1"/>
  <c r="I97" i="1"/>
  <c r="M97" i="1" s="1"/>
  <c r="D97" i="1"/>
  <c r="AB96" i="1"/>
  <c r="M96" i="1"/>
  <c r="J96" i="1"/>
  <c r="N96" i="1" s="1"/>
  <c r="I96" i="1"/>
  <c r="D96" i="1"/>
  <c r="AB95" i="1"/>
  <c r="AB94" i="1"/>
  <c r="J94" i="1"/>
  <c r="N94" i="1" s="1"/>
  <c r="H94" i="1"/>
  <c r="M94" i="1" s="1"/>
  <c r="D94" i="1"/>
  <c r="AB93" i="1"/>
  <c r="U93" i="1"/>
  <c r="N93" i="1"/>
  <c r="J93" i="1"/>
  <c r="H93" i="1"/>
  <c r="M93" i="1" s="1"/>
  <c r="D93" i="1"/>
  <c r="AB92" i="1"/>
  <c r="U92" i="1"/>
  <c r="AB91" i="1"/>
  <c r="U91" i="1"/>
  <c r="J91" i="1"/>
  <c r="N91" i="1" s="1"/>
  <c r="G91" i="1"/>
  <c r="M91" i="1" s="1"/>
  <c r="D91" i="1"/>
  <c r="U90" i="1"/>
  <c r="J90" i="1"/>
  <c r="N90" i="1" s="1"/>
  <c r="G90" i="1"/>
  <c r="M90" i="1" s="1"/>
  <c r="D90" i="1"/>
  <c r="N88" i="1"/>
  <c r="O88" i="1" s="1"/>
  <c r="M88" i="1"/>
  <c r="J88" i="1"/>
  <c r="I88" i="1"/>
  <c r="D88" i="1"/>
  <c r="J87" i="1"/>
  <c r="N87" i="1" s="1"/>
  <c r="I87" i="1"/>
  <c r="M87" i="1" s="1"/>
  <c r="D87" i="1"/>
  <c r="J85" i="1"/>
  <c r="N85" i="1" s="1"/>
  <c r="H85" i="1"/>
  <c r="M85" i="1" s="1"/>
  <c r="D85" i="1"/>
  <c r="J84" i="1"/>
  <c r="N84" i="1" s="1"/>
  <c r="H84" i="1"/>
  <c r="M84" i="1" s="1"/>
  <c r="D84" i="1"/>
  <c r="J82" i="1"/>
  <c r="N82" i="1" s="1"/>
  <c r="G82" i="1"/>
  <c r="M82" i="1" s="1"/>
  <c r="O82" i="1" s="1"/>
  <c r="D82" i="1"/>
  <c r="J81" i="1"/>
  <c r="N81" i="1" s="1"/>
  <c r="G81" i="1"/>
  <c r="M81" i="1" s="1"/>
  <c r="D81" i="1"/>
  <c r="J79" i="1"/>
  <c r="N79" i="1" s="1"/>
  <c r="I79" i="1"/>
  <c r="M79" i="1" s="1"/>
  <c r="D79" i="1"/>
  <c r="AB78" i="1"/>
  <c r="J78" i="1"/>
  <c r="N78" i="1" s="1"/>
  <c r="I78" i="1"/>
  <c r="D78" i="1"/>
  <c r="AB77" i="1"/>
  <c r="AB76" i="1"/>
  <c r="J76" i="1"/>
  <c r="N76" i="1" s="1"/>
  <c r="H76" i="1"/>
  <c r="M76" i="1" s="1"/>
  <c r="D76" i="1"/>
  <c r="AB75" i="1"/>
  <c r="J75" i="1"/>
  <c r="N75" i="1" s="1"/>
  <c r="H75" i="1"/>
  <c r="M75" i="1" s="1"/>
  <c r="O75" i="1" s="1"/>
  <c r="D75" i="1"/>
  <c r="AB74" i="1"/>
  <c r="AB73" i="1"/>
  <c r="J73" i="1"/>
  <c r="N73" i="1" s="1"/>
  <c r="G73" i="1"/>
  <c r="M73" i="1" s="1"/>
  <c r="D73" i="1"/>
  <c r="J72" i="1"/>
  <c r="N72" i="1" s="1"/>
  <c r="O72" i="1" s="1"/>
  <c r="G72" i="1"/>
  <c r="M72" i="1" s="1"/>
  <c r="D72" i="1"/>
  <c r="J70" i="1"/>
  <c r="N70" i="1" s="1"/>
  <c r="I70" i="1"/>
  <c r="M70" i="1" s="1"/>
  <c r="D70" i="1"/>
  <c r="J69" i="1"/>
  <c r="N69" i="1" s="1"/>
  <c r="I69" i="1"/>
  <c r="M69" i="1" s="1"/>
  <c r="D69" i="1"/>
  <c r="J67" i="1"/>
  <c r="N67" i="1" s="1"/>
  <c r="H67" i="1"/>
  <c r="M67" i="1" s="1"/>
  <c r="D67" i="1"/>
  <c r="J66" i="1"/>
  <c r="N66" i="1" s="1"/>
  <c r="H66" i="1"/>
  <c r="D66" i="1"/>
  <c r="J64" i="1"/>
  <c r="N64" i="1" s="1"/>
  <c r="G64" i="1"/>
  <c r="M64" i="1" s="1"/>
  <c r="D64" i="1"/>
  <c r="J63" i="1"/>
  <c r="G63" i="1"/>
  <c r="M63" i="1" s="1"/>
  <c r="D63" i="1"/>
  <c r="E54" i="1"/>
  <c r="D54" i="1"/>
  <c r="U10" i="1" s="1"/>
  <c r="C54" i="1"/>
  <c r="T10" i="1" s="1"/>
  <c r="B54" i="1"/>
  <c r="N49" i="1"/>
  <c r="P49" i="1" s="1"/>
  <c r="L49" i="1"/>
  <c r="I49" i="1"/>
  <c r="H49" i="1"/>
  <c r="N48" i="1"/>
  <c r="L48" i="1"/>
  <c r="I48" i="1"/>
  <c r="H48" i="1"/>
  <c r="N46" i="1"/>
  <c r="L46" i="1"/>
  <c r="I46" i="1"/>
  <c r="H46" i="1"/>
  <c r="J46" i="1" s="1"/>
  <c r="N45" i="1"/>
  <c r="L45" i="1"/>
  <c r="I45" i="1"/>
  <c r="H45" i="1"/>
  <c r="J45" i="1" s="1"/>
  <c r="N43" i="1"/>
  <c r="L43" i="1"/>
  <c r="I43" i="1"/>
  <c r="H43" i="1"/>
  <c r="J43" i="1" s="1"/>
  <c r="N42" i="1"/>
  <c r="L42" i="1"/>
  <c r="I42" i="1"/>
  <c r="H42" i="1"/>
  <c r="AB40" i="1"/>
  <c r="N40" i="1"/>
  <c r="L40" i="1"/>
  <c r="I40" i="1"/>
  <c r="H40" i="1"/>
  <c r="AB39" i="1"/>
  <c r="N39" i="1"/>
  <c r="L39" i="1"/>
  <c r="P39" i="1" s="1"/>
  <c r="I39" i="1"/>
  <c r="H39" i="1"/>
  <c r="AB38" i="1"/>
  <c r="U38" i="1"/>
  <c r="AB37" i="1"/>
  <c r="U37" i="1"/>
  <c r="N37" i="1"/>
  <c r="L37" i="1"/>
  <c r="P37" i="1" s="1"/>
  <c r="I37" i="1"/>
  <c r="H37" i="1"/>
  <c r="J37" i="1" s="1"/>
  <c r="AB36" i="1"/>
  <c r="U36" i="1"/>
  <c r="N36" i="1"/>
  <c r="L36" i="1"/>
  <c r="I36" i="1"/>
  <c r="H36" i="1"/>
  <c r="AB35" i="1"/>
  <c r="U35" i="1"/>
  <c r="U34" i="1"/>
  <c r="N34" i="1"/>
  <c r="P34" i="1" s="1"/>
  <c r="L34" i="1"/>
  <c r="I34" i="1"/>
  <c r="H34" i="1"/>
  <c r="J34" i="1" s="1"/>
  <c r="N33" i="1"/>
  <c r="L33" i="1"/>
  <c r="I33" i="1"/>
  <c r="H33" i="1"/>
  <c r="J33" i="1" s="1"/>
  <c r="N31" i="1"/>
  <c r="L31" i="1"/>
  <c r="I31" i="1"/>
  <c r="H31" i="1"/>
  <c r="J31" i="1" s="1"/>
  <c r="N30" i="1"/>
  <c r="L30" i="1"/>
  <c r="P30" i="1" s="1"/>
  <c r="I30" i="1"/>
  <c r="H30" i="1"/>
  <c r="J30" i="1" s="1"/>
  <c r="N28" i="1"/>
  <c r="L28" i="1"/>
  <c r="I28" i="1"/>
  <c r="H28" i="1"/>
  <c r="J28" i="1" s="1"/>
  <c r="N27" i="1"/>
  <c r="L27" i="1"/>
  <c r="P27" i="1" s="1"/>
  <c r="I27" i="1"/>
  <c r="H27" i="1"/>
  <c r="J27" i="1" s="1"/>
  <c r="N25" i="1"/>
  <c r="L25" i="1"/>
  <c r="I25" i="1"/>
  <c r="H25" i="1"/>
  <c r="J25" i="1" s="1"/>
  <c r="N24" i="1"/>
  <c r="L24" i="1"/>
  <c r="P24" i="1" s="1"/>
  <c r="I24" i="1"/>
  <c r="H24" i="1"/>
  <c r="AB22" i="1"/>
  <c r="N22" i="1"/>
  <c r="L22" i="1"/>
  <c r="I22" i="1"/>
  <c r="H22" i="1"/>
  <c r="J22" i="1" s="1"/>
  <c r="AB21" i="1"/>
  <c r="N21" i="1"/>
  <c r="L21" i="1"/>
  <c r="I21" i="1"/>
  <c r="H21" i="1"/>
  <c r="J21" i="1" s="1"/>
  <c r="AB20" i="1"/>
  <c r="AB19" i="1"/>
  <c r="N19" i="1"/>
  <c r="L19" i="1"/>
  <c r="I19" i="1"/>
  <c r="H19" i="1"/>
  <c r="AB18" i="1"/>
  <c r="N18" i="1"/>
  <c r="L18" i="1"/>
  <c r="I18" i="1"/>
  <c r="H18" i="1"/>
  <c r="AB17" i="1"/>
  <c r="N16" i="1"/>
  <c r="L16" i="1"/>
  <c r="I16" i="1"/>
  <c r="H16" i="1"/>
  <c r="N15" i="1"/>
  <c r="L15" i="1"/>
  <c r="I15" i="1"/>
  <c r="H15" i="1"/>
  <c r="N13" i="1"/>
  <c r="L13" i="1"/>
  <c r="I13" i="1"/>
  <c r="H13" i="1"/>
  <c r="N12" i="1"/>
  <c r="L12" i="1"/>
  <c r="I12" i="1"/>
  <c r="H12" i="1"/>
  <c r="N10" i="1"/>
  <c r="L10" i="1"/>
  <c r="I10" i="1"/>
  <c r="H10" i="1"/>
  <c r="N9" i="1"/>
  <c r="L9" i="1"/>
  <c r="I9" i="1"/>
  <c r="H9" i="1"/>
  <c r="N7" i="1"/>
  <c r="L7" i="1"/>
  <c r="I7" i="1"/>
  <c r="H7" i="1"/>
  <c r="N6" i="1"/>
  <c r="L6" i="1"/>
  <c r="I6" i="1"/>
  <c r="H6" i="1"/>
  <c r="J18" i="1" l="1"/>
  <c r="P134" i="1"/>
  <c r="J125" i="1"/>
  <c r="J39" i="1"/>
  <c r="P43" i="1"/>
  <c r="O67" i="1"/>
  <c r="O79" i="1"/>
  <c r="O103" i="1"/>
  <c r="P153" i="1"/>
  <c r="O200" i="1"/>
  <c r="P126" i="1"/>
  <c r="O218" i="1"/>
  <c r="P45" i="1"/>
  <c r="O93" i="1"/>
  <c r="J131" i="1"/>
  <c r="P135" i="1"/>
  <c r="J137" i="1"/>
  <c r="J40" i="1"/>
  <c r="P140" i="1"/>
  <c r="J159" i="1"/>
  <c r="J165" i="1"/>
  <c r="P76" i="2"/>
  <c r="E96" i="2"/>
  <c r="H170" i="1"/>
  <c r="J24" i="1"/>
  <c r="P28" i="1"/>
  <c r="P42" i="1"/>
  <c r="O85" i="1"/>
  <c r="J138" i="1"/>
  <c r="O198" i="1"/>
  <c r="J123" i="1"/>
  <c r="P128" i="1"/>
  <c r="J153" i="1"/>
  <c r="O179" i="1"/>
  <c r="O206" i="1"/>
  <c r="D111" i="1"/>
  <c r="J161" i="1"/>
  <c r="AD41" i="2"/>
  <c r="AF41" i="2" s="1"/>
  <c r="J15" i="1"/>
  <c r="J7" i="1"/>
  <c r="P9" i="1"/>
  <c r="J9" i="1"/>
  <c r="P7" i="1"/>
  <c r="J13" i="1"/>
  <c r="P21" i="1"/>
  <c r="J12" i="1"/>
  <c r="P6" i="1"/>
  <c r="P22" i="1"/>
  <c r="P13" i="1"/>
  <c r="P16" i="1"/>
  <c r="J6" i="1"/>
  <c r="P19" i="1"/>
  <c r="J10" i="1"/>
  <c r="P18" i="1"/>
  <c r="O97" i="1"/>
  <c r="O94" i="1"/>
  <c r="O209" i="1"/>
  <c r="O212" i="1"/>
  <c r="O69" i="1"/>
  <c r="G76" i="2"/>
  <c r="G80" i="2" s="1"/>
  <c r="P33" i="1"/>
  <c r="O219" i="1"/>
  <c r="P12" i="1"/>
  <c r="P31" i="1"/>
  <c r="P36" i="1"/>
  <c r="G111" i="1"/>
  <c r="S66" i="1" s="1"/>
  <c r="J132" i="1"/>
  <c r="J158" i="1"/>
  <c r="P162" i="1"/>
  <c r="H227" i="1"/>
  <c r="T182" i="1" s="1"/>
  <c r="G343" i="1"/>
  <c r="AD53" i="2"/>
  <c r="J42" i="1"/>
  <c r="P46" i="1"/>
  <c r="P123" i="1"/>
  <c r="J129" i="1"/>
  <c r="P155" i="1"/>
  <c r="I76" i="2"/>
  <c r="I80" i="2" s="1"/>
  <c r="O203" i="1"/>
  <c r="P143" i="1"/>
  <c r="T242" i="1"/>
  <c r="AB242" i="1" s="1"/>
  <c r="O91" i="1"/>
  <c r="J134" i="1"/>
  <c r="P15" i="1"/>
  <c r="J48" i="1"/>
  <c r="O201" i="1"/>
  <c r="O210" i="1"/>
  <c r="R76" i="2"/>
  <c r="V67" i="2" s="1"/>
  <c r="V71" i="2" s="1"/>
  <c r="J16" i="1"/>
  <c r="O64" i="1"/>
  <c r="O70" i="1"/>
  <c r="P161" i="1"/>
  <c r="J128" i="1"/>
  <c r="N54" i="1"/>
  <c r="P25" i="1"/>
  <c r="J36" i="1"/>
  <c r="P48" i="1"/>
  <c r="P125" i="1"/>
  <c r="P144" i="1"/>
  <c r="J150" i="1"/>
  <c r="J162" i="1"/>
  <c r="O197" i="1"/>
  <c r="O216" i="1"/>
  <c r="O90" i="1"/>
  <c r="J49" i="1"/>
  <c r="J126" i="1"/>
  <c r="P131" i="1"/>
  <c r="J146" i="1"/>
  <c r="D227" i="1"/>
  <c r="O40" i="3"/>
  <c r="J54" i="1"/>
  <c r="M26" i="3"/>
  <c r="N26" i="3" s="1"/>
  <c r="I26" i="5"/>
  <c r="R80" i="2"/>
  <c r="O73" i="1"/>
  <c r="O180" i="1"/>
  <c r="O186" i="1"/>
  <c r="T311" i="1"/>
  <c r="T315" i="1" s="1"/>
  <c r="M343" i="1"/>
  <c r="O192" i="1"/>
  <c r="O84" i="1"/>
  <c r="Q76" i="2"/>
  <c r="Q80" i="2" s="1"/>
  <c r="O182" i="1"/>
  <c r="I111" i="1"/>
  <c r="U66" i="1" s="1"/>
  <c r="M78" i="1"/>
  <c r="O78" i="1" s="1"/>
  <c r="L170" i="1"/>
  <c r="O188" i="1"/>
  <c r="T299" i="1"/>
  <c r="O102" i="1"/>
  <c r="P10" i="1"/>
  <c r="H111" i="1"/>
  <c r="T66" i="1" s="1"/>
  <c r="M66" i="1"/>
  <c r="O66" i="1" s="1"/>
  <c r="O81" i="1"/>
  <c r="N170" i="1"/>
  <c r="O222" i="1"/>
  <c r="J19" i="1"/>
  <c r="O183" i="1"/>
  <c r="H54" i="1"/>
  <c r="T22" i="1"/>
  <c r="S10" i="1"/>
  <c r="S12" i="1" s="1"/>
  <c r="O87" i="1"/>
  <c r="O189" i="1"/>
  <c r="AD47" i="2"/>
  <c r="P40" i="1"/>
  <c r="O76" i="1"/>
  <c r="O204" i="1"/>
  <c r="G227" i="1"/>
  <c r="O105" i="1"/>
  <c r="P141" i="1"/>
  <c r="F96" i="2"/>
  <c r="G96" i="2" s="1"/>
  <c r="J111" i="1"/>
  <c r="I227" i="1"/>
  <c r="U182" i="1" s="1"/>
  <c r="O96" i="1"/>
  <c r="L54" i="1"/>
  <c r="P80" i="2"/>
  <c r="T67" i="2"/>
  <c r="T71" i="2" s="1"/>
  <c r="O100" i="1"/>
  <c r="O106" i="1"/>
  <c r="O185" i="1"/>
  <c r="O191" i="1"/>
  <c r="L286" i="1"/>
  <c r="J227" i="1"/>
  <c r="T138" i="1"/>
  <c r="T140" i="1" s="1"/>
  <c r="T142" i="1" s="1"/>
  <c r="W10" i="1"/>
  <c r="U22" i="1"/>
  <c r="N63" i="1"/>
  <c r="O63" i="1" s="1"/>
  <c r="U126" i="1"/>
  <c r="S128" i="1" s="1"/>
  <c r="W126" i="1"/>
  <c r="J170" i="1"/>
  <c r="H76" i="2"/>
  <c r="I170" i="1"/>
  <c r="I54" i="1"/>
  <c r="P122" i="1"/>
  <c r="T254" i="1"/>
  <c r="T258" i="1" s="1"/>
  <c r="G29" i="5" l="1"/>
  <c r="Q29" i="5" s="1"/>
  <c r="R29" i="5" s="1"/>
  <c r="AB245" i="1"/>
  <c r="AG41" i="2"/>
  <c r="AB244" i="1"/>
  <c r="AB243" i="1"/>
  <c r="AB241" i="1"/>
  <c r="AB247" i="1"/>
  <c r="AB246" i="1"/>
  <c r="P170" i="1"/>
  <c r="T24" i="1"/>
  <c r="T26" i="1" s="1"/>
  <c r="AB32" i="1" s="1"/>
  <c r="O227" i="1"/>
  <c r="U194" i="1"/>
  <c r="N227" i="1"/>
  <c r="W182" i="1"/>
  <c r="T194" i="1"/>
  <c r="M227" i="1"/>
  <c r="S182" i="1"/>
  <c r="S184" i="1" s="1"/>
  <c r="P54" i="1"/>
  <c r="S14" i="1"/>
  <c r="W12" i="1"/>
  <c r="AB263" i="1"/>
  <c r="AB262" i="1"/>
  <c r="AB261" i="1"/>
  <c r="AB260" i="1"/>
  <c r="AB265" i="1"/>
  <c r="AB259" i="1"/>
  <c r="AB264" i="1"/>
  <c r="AB301" i="1"/>
  <c r="AB300" i="1"/>
  <c r="AB298" i="1"/>
  <c r="AB302" i="1"/>
  <c r="AB304" i="1"/>
  <c r="AB303" i="1"/>
  <c r="AB299" i="1"/>
  <c r="AB316" i="1"/>
  <c r="AB317" i="1"/>
  <c r="AB319" i="1"/>
  <c r="AB318" i="1"/>
  <c r="AB322" i="1"/>
  <c r="AB320" i="1"/>
  <c r="AB321" i="1"/>
  <c r="H80" i="2"/>
  <c r="U67" i="2"/>
  <c r="U71" i="2" s="1"/>
  <c r="T78" i="1"/>
  <c r="S68" i="1"/>
  <c r="AB143" i="1"/>
  <c r="AB149" i="1"/>
  <c r="AB146" i="1"/>
  <c r="AB145" i="1"/>
  <c r="AB148" i="1"/>
  <c r="AB144" i="1"/>
  <c r="AB147" i="1"/>
  <c r="O111" i="1"/>
  <c r="U78" i="1"/>
  <c r="N111" i="1"/>
  <c r="W66" i="1"/>
  <c r="M111" i="1"/>
  <c r="W128" i="1"/>
  <c r="S130" i="1"/>
  <c r="T80" i="1" l="1"/>
  <c r="T82" i="1" s="1"/>
  <c r="AB84" i="1" s="1"/>
  <c r="S29" i="5"/>
  <c r="T196" i="1"/>
  <c r="T198" i="1" s="1"/>
  <c r="AB29" i="1"/>
  <c r="AB30" i="1"/>
  <c r="AB27" i="1"/>
  <c r="AB33" i="1"/>
  <c r="AB31" i="1"/>
  <c r="AB28" i="1"/>
  <c r="AB14" i="1"/>
  <c r="AB9" i="1"/>
  <c r="AB10" i="1"/>
  <c r="AB15" i="1"/>
  <c r="AB12" i="1"/>
  <c r="AB11" i="1"/>
  <c r="AB13" i="1"/>
  <c r="AB126" i="1"/>
  <c r="AB125" i="1"/>
  <c r="AB130" i="1"/>
  <c r="AB129" i="1"/>
  <c r="AB127" i="1"/>
  <c r="AB128" i="1"/>
  <c r="AB131" i="1"/>
  <c r="AB86" i="1"/>
  <c r="AB89" i="1"/>
  <c r="AB85" i="1"/>
  <c r="AB87" i="1"/>
  <c r="W68" i="1"/>
  <c r="S70" i="1"/>
  <c r="AB200" i="1"/>
  <c r="AB199" i="1"/>
  <c r="AB205" i="1"/>
  <c r="AB204" i="1"/>
  <c r="AB202" i="1"/>
  <c r="AB201" i="1"/>
  <c r="AB203" i="1"/>
  <c r="W184" i="1"/>
  <c r="S186" i="1"/>
  <c r="AB83" i="1" l="1"/>
  <c r="AB88" i="1"/>
  <c r="G35" i="5"/>
  <c r="Q35" i="5" s="1"/>
  <c r="R35" i="5" s="1"/>
  <c r="S35" i="5" s="1"/>
  <c r="G32" i="5"/>
  <c r="Q32" i="5" s="1"/>
  <c r="R32" i="5" s="1"/>
  <c r="G34" i="5"/>
  <c r="G30" i="5"/>
  <c r="Q30" i="5" s="1"/>
  <c r="R30" i="5" s="1"/>
  <c r="AB183" i="1"/>
  <c r="AB181" i="1"/>
  <c r="AB185" i="1"/>
  <c r="AB182" i="1"/>
  <c r="AB184" i="1"/>
  <c r="AB186" i="1"/>
  <c r="AB65" i="1"/>
  <c r="AB69" i="1"/>
  <c r="AB66" i="1"/>
  <c r="AB68" i="1"/>
  <c r="AB70" i="1"/>
  <c r="AB67" i="1"/>
  <c r="S30" i="5" l="1"/>
  <c r="G31" i="5" s="1"/>
  <c r="Q31" i="5" s="1"/>
  <c r="R31" i="5" s="1"/>
  <c r="S32" i="5"/>
  <c r="Q34" i="5"/>
  <c r="R34" i="5" s="1"/>
  <c r="S34" i="5" s="1"/>
  <c r="G33" i="5" l="1"/>
  <c r="Q33" i="5" s="1"/>
  <c r="R33" i="5" s="1"/>
  <c r="S31" i="5"/>
  <c r="S33" i="5" l="1"/>
</calcChain>
</file>

<file path=xl/sharedStrings.xml><?xml version="1.0" encoding="utf-8"?>
<sst xmlns="http://schemas.openxmlformats.org/spreadsheetml/2006/main" count="2133" uniqueCount="653">
  <si>
    <t>400V</t>
  </si>
  <si>
    <t>AMPERE</t>
  </si>
  <si>
    <t>MULTI</t>
  </si>
  <si>
    <t>AMPERE TRIP</t>
  </si>
  <si>
    <t>KW</t>
  </si>
  <si>
    <t>L1</t>
  </si>
  <si>
    <t>L2</t>
  </si>
  <si>
    <t>L3</t>
  </si>
  <si>
    <t>3 PHASE</t>
  </si>
  <si>
    <t>1 PHASE</t>
  </si>
  <si>
    <t>OVERALL</t>
  </si>
  <si>
    <t>CONNECTED DF</t>
  </si>
  <si>
    <t>KVA</t>
  </si>
  <si>
    <t>TOTAL  KVA</t>
  </si>
  <si>
    <t>OVERALL KVA</t>
  </si>
  <si>
    <t>TEST</t>
  </si>
  <si>
    <t>TOTAL AT COMPUTATION</t>
  </si>
  <si>
    <t>TOTAL AMPERE</t>
  </si>
  <si>
    <t>MAINS AT</t>
  </si>
  <si>
    <t>MAINS AT x DF</t>
  </si>
  <si>
    <t>AT COMPUTATION</t>
  </si>
  <si>
    <t>SAFETY</t>
  </si>
  <si>
    <t>AMP</t>
  </si>
  <si>
    <t>AT</t>
  </si>
  <si>
    <t>for units</t>
  </si>
  <si>
    <t>NORMAL LOAD</t>
  </si>
  <si>
    <t>1 PHASE ACCU</t>
  </si>
  <si>
    <t>WATER HEATER</t>
  </si>
  <si>
    <t>EV CHARGER</t>
  </si>
  <si>
    <t>1PHASE MOTOR</t>
  </si>
  <si>
    <t>400V (KW TO AMP)</t>
  </si>
  <si>
    <t>230V</t>
  </si>
  <si>
    <t>230V (KW TO AMP)</t>
  </si>
  <si>
    <t>230V - 1 PHASE</t>
  </si>
  <si>
    <t>230V- 1 PHASE  (KW TO AMP)</t>
  </si>
  <si>
    <t># OUTLETS</t>
  </si>
  <si>
    <t>VA</t>
  </si>
  <si>
    <t>AMPERES</t>
  </si>
  <si>
    <t>*SUBJECT TO CHANGE*</t>
  </si>
  <si>
    <t>KVA ASSUMPTION</t>
  </si>
  <si>
    <t>VA/SQM</t>
  </si>
  <si>
    <t>SQM</t>
  </si>
  <si>
    <t>FCU RATING</t>
  </si>
  <si>
    <t>INTERPOLATE</t>
  </si>
  <si>
    <t>REGULAR OFFICE</t>
  </si>
  <si>
    <t>NAME</t>
  </si>
  <si>
    <t>WATT</t>
  </si>
  <si>
    <t>HP</t>
  </si>
  <si>
    <t>X</t>
  </si>
  <si>
    <t>X1</t>
  </si>
  <si>
    <t>Y1</t>
  </si>
  <si>
    <t>X2</t>
  </si>
  <si>
    <t>Y2</t>
  </si>
  <si>
    <t>Y</t>
  </si>
  <si>
    <t>BPO</t>
  </si>
  <si>
    <t>OFFICE + SHOWROOM</t>
  </si>
  <si>
    <t>LOBBY</t>
  </si>
  <si>
    <t>TOILET/T&amp;B</t>
  </si>
  <si>
    <t>EE ROOM</t>
  </si>
  <si>
    <t>RETAIL</t>
  </si>
  <si>
    <t>MOTOR KW TO HP</t>
  </si>
  <si>
    <t>KITCHEN</t>
  </si>
  <si>
    <t>RENTABLE SPACE</t>
  </si>
  <si>
    <t>ROOFDECK</t>
  </si>
  <si>
    <t>PRRKING</t>
  </si>
  <si>
    <t>STORAGE</t>
  </si>
  <si>
    <t>DINING AREA</t>
  </si>
  <si>
    <t>LOUNGE</t>
  </si>
  <si>
    <t>BANK</t>
  </si>
  <si>
    <t>INCHES TO MILLIMETER</t>
  </si>
  <si>
    <t>FEET TO METER</t>
  </si>
  <si>
    <t>RETAIL(DRY)</t>
  </si>
  <si>
    <t>in</t>
  </si>
  <si>
    <t>mm</t>
  </si>
  <si>
    <t>ft</t>
  </si>
  <si>
    <t>m</t>
  </si>
  <si>
    <t>STUDIO</t>
  </si>
  <si>
    <t>ONE BED</t>
  </si>
  <si>
    <t>MILLIMETER TO INCHES</t>
  </si>
  <si>
    <t>METER TO FEET</t>
  </si>
  <si>
    <t>2 BED</t>
  </si>
  <si>
    <t>3 BED</t>
  </si>
  <si>
    <t>4 BED</t>
  </si>
  <si>
    <t>INTERPOLATE (1PHASE, 230V)</t>
  </si>
  <si>
    <t>1/10</t>
  </si>
  <si>
    <t>1/8</t>
  </si>
  <si>
    <t>1/6</t>
  </si>
  <si>
    <t>1/4</t>
  </si>
  <si>
    <t>1/3</t>
  </si>
  <si>
    <t>1/2</t>
  </si>
  <si>
    <t>3/4</t>
  </si>
  <si>
    <t>1</t>
  </si>
  <si>
    <t>1 1/2</t>
  </si>
  <si>
    <t>3PHASE</t>
  </si>
  <si>
    <t>INTERPOLATE (3PHASE, 230V)</t>
  </si>
  <si>
    <t>INTERPOLATE (3PHASE, 400V)</t>
  </si>
  <si>
    <t>PIPE W/ LOCKNUT  APPROX DIMENSION</t>
  </si>
  <si>
    <t>PIPE</t>
  </si>
  <si>
    <t>LOCKNUT</t>
  </si>
  <si>
    <t>PULLBOX COMPUTATION</t>
  </si>
  <si>
    <t>2ND LAYER PULLBOX COMPUTATION</t>
  </si>
  <si>
    <t>IF 2 LAYERS (mm)</t>
  </si>
  <si>
    <t>BUSBAR AMPACITY COMPUTATION (INCHES)</t>
  </si>
  <si>
    <t>Conduit Size</t>
  </si>
  <si>
    <t>w/ Locknut</t>
  </si>
  <si>
    <t>No. Conduit</t>
  </si>
  <si>
    <t>Conduit Ref</t>
  </si>
  <si>
    <t>Total Dia</t>
  </si>
  <si>
    <t>Length</t>
  </si>
  <si>
    <t>Width</t>
  </si>
  <si>
    <t>Depth</t>
  </si>
  <si>
    <t>THICKNESS</t>
  </si>
  <si>
    <t>WIDTH</t>
  </si>
  <si>
    <t>PLY</t>
  </si>
  <si>
    <t>AMPACITY</t>
  </si>
  <si>
    <t>INCHES</t>
  </si>
  <si>
    <t>BUSBAR AMPACITY COMPUTATION (mm)</t>
  </si>
  <si>
    <t>CABLE TRAY COMPUTATION</t>
  </si>
  <si>
    <t>PERCENT FILL COMPUTATION</t>
  </si>
  <si>
    <t>Circle</t>
  </si>
  <si>
    <t>AWG to mm²</t>
  </si>
  <si>
    <t>CONDUIT</t>
  </si>
  <si>
    <t>FIRE-RATED CABLE</t>
  </si>
  <si>
    <t>Wires</t>
  </si>
  <si>
    <t>Conduit</t>
  </si>
  <si>
    <t>Area</t>
  </si>
  <si>
    <t>Diameter</t>
  </si>
  <si>
    <t>AWG</t>
  </si>
  <si>
    <t>mm²</t>
  </si>
  <si>
    <t>mm dia</t>
  </si>
  <si>
    <t>Single Core</t>
  </si>
  <si>
    <t>Wire Dia</t>
  </si>
  <si>
    <t># of Wires</t>
  </si>
  <si>
    <t>%Fill</t>
  </si>
  <si>
    <t>Size (sq.mm)</t>
  </si>
  <si>
    <t>Approx Dia.</t>
  </si>
  <si>
    <t>No. of Sets</t>
  </si>
  <si>
    <t>CHECK</t>
  </si>
  <si>
    <t>MINIMUM PERCENT FILL</t>
  </si>
  <si>
    <t>WIRE</t>
  </si>
  <si>
    <t>WIRES</t>
  </si>
  <si>
    <t>OR MORE</t>
  </si>
  <si>
    <t>CABLE TRAY</t>
  </si>
  <si>
    <t>Ground Dia</t>
  </si>
  <si>
    <t>Height</t>
  </si>
  <si>
    <t>Status</t>
  </si>
  <si>
    <t>LOAD SCHEDULE WIRING CODE</t>
  </si>
  <si>
    <t>CODE</t>
  </si>
  <si>
    <t>FEEDER WIRES AND CONDUIT SIZE</t>
  </si>
  <si>
    <t>CONDUIT (mmØ)</t>
  </si>
  <si>
    <t>1 PHASE:  2-WIRE + GROUND</t>
  </si>
  <si>
    <t>IMC/EMT</t>
  </si>
  <si>
    <t>PVC</t>
  </si>
  <si>
    <t>SIZE</t>
  </si>
  <si>
    <t>OUTSIDE DIAMETER (mm)</t>
  </si>
  <si>
    <t>INSIDE DIAMETER (mm)</t>
  </si>
  <si>
    <t>W0</t>
  </si>
  <si>
    <r>
      <rPr>
        <sz val="11"/>
        <rFont val="Aptos Narrow"/>
      </rPr>
      <t xml:space="preserve"> 3#2.0 mm</t>
    </r>
    <r>
      <rPr>
        <sz val="11"/>
        <rFont val="Aptos Narrow"/>
      </rPr>
      <t xml:space="preserve">Ø        </t>
    </r>
    <r>
      <rPr>
        <sz val="11"/>
        <rFont val="Aptos Narrow"/>
      </rPr>
      <t xml:space="preserve"> THHN/THWN in 15mmØ INSIDE DIAMETER CONDUIT</t>
    </r>
  </si>
  <si>
    <t>PVC SCH 40</t>
  </si>
  <si>
    <t>IMC</t>
  </si>
  <si>
    <t>EMT</t>
  </si>
  <si>
    <t>W1</t>
  </si>
  <si>
    <t xml:space="preserve"> 2#5.5 sq.mm      THHN/THWN  and  1#2.0 mmØ      THNN/THWN in 20mmØ INSIDE DIAMETER CONDUIT</t>
  </si>
  <si>
    <t>W2</t>
  </si>
  <si>
    <t xml:space="preserve"> 2#8.0 sq.mm      THHM/THWN  and  1#5.5 sq.mm   THNN/THWN in 20mmØ INSIDE DIAMETER CONDUIT</t>
  </si>
  <si>
    <t>50/60</t>
  </si>
  <si>
    <t>W3</t>
  </si>
  <si>
    <t xml:space="preserve"> 2#14 sq.mm       THHN/THWN  and  1#8.0 sq.mm   THHN/THWN in 25mmØ INSIDE DIAMETER CONDUIT</t>
  </si>
  <si>
    <t>70/80</t>
  </si>
  <si>
    <t>W4</t>
  </si>
  <si>
    <t xml:space="preserve"> 2#22 sq.mm       THHN/THWN  and  1#8.0 sq.mm   THHN/THWN in 32mmØ INSIDE DIAMETER CONDUIT</t>
  </si>
  <si>
    <t>W5</t>
  </si>
  <si>
    <t xml:space="preserve"> 2#30 sq.mm       THHN/THWN  and  1#8.0 sq.mm   THNN/THWN in 32mmØ INSIDE DIAMETER CONDUIT</t>
  </si>
  <si>
    <t>W6</t>
  </si>
  <si>
    <t xml:space="preserve"> 2#50 sq.mm       THHN/THWN  and  1#14 sq.mm    THNN/THWN in 50mmØ INSIDE DIAMETER CONDUIT</t>
  </si>
  <si>
    <t>W7</t>
  </si>
  <si>
    <t>-</t>
  </si>
  <si>
    <t>W8</t>
  </si>
  <si>
    <t xml:space="preserve"> 2#80 sq.mm       THHN/THWN  and  1#22 sq.mm    THNN/THWN in 50mmØ INSIDE DIAMETER CONDUIT</t>
  </si>
  <si>
    <t>W9</t>
  </si>
  <si>
    <t xml:space="preserve"> 2#100 sq.mm    THHN/THWN  and  1#30 sq.mm    THNN/THWN in 65mmØ INSIDE DIAMETER CONDUIT</t>
  </si>
  <si>
    <t>W10</t>
  </si>
  <si>
    <t xml:space="preserve"> 2#125sq.mm     THHN/THWN  and  1#30 sq.mm    THNN/THWN in 65mmØ INSIDE DIAMETER CONDUIT</t>
  </si>
  <si>
    <t>W11</t>
  </si>
  <si>
    <t xml:space="preserve"> 2#150 sq.mm    THHN/THWN  and  1#30 sq.mm    THNN/THWN in 80mmØ INSIDE DIAMETER CONDUIT</t>
  </si>
  <si>
    <t>W12</t>
  </si>
  <si>
    <t xml:space="preserve"> 2#200 sq.mm    THHN/THWN  and  1#30 sq.mm    THNN/THWN in 80mmØ INSIDE DIAMETER CONDUIT</t>
  </si>
  <si>
    <t>W13</t>
  </si>
  <si>
    <t xml:space="preserve"> 2#250 sq.mm    THHN/THWN  and  1#50 sq.mm    THNN/THWN in 90mmØ INSIDE DIAMETER CONDUIT</t>
  </si>
  <si>
    <t>3 PHASE: 3-WIRE + GROUND  :  FOR ACCU, EF, PUMP, JF</t>
  </si>
  <si>
    <t>X0</t>
  </si>
  <si>
    <t xml:space="preserve"> 4#2.0 mmØ         THHN/THWN in 15mmØ INSIDE DIAMETER CONDUIT</t>
  </si>
  <si>
    <t xml:space="preserve"> 3#5.5 sq.mm      THHN/THWN  and  1#2.0 mmØ      THNN/THWN in 20mmØ INSIDE DIAMETER CONDUIT</t>
  </si>
  <si>
    <t xml:space="preserve"> 3#8.0 sq.mm      THHN/THWN  and  1#5.5 sq.mm   THNN/THWN in 25mmØ INSIDE DIAMETER CONDUIT</t>
  </si>
  <si>
    <t>X3</t>
  </si>
  <si>
    <t xml:space="preserve"> 3#14 sq.mm       THHN/THWN  and  1#8.0 sq.mm   THNN/THWN in 25mmØ INSIDE DIAMETER CONDUIT</t>
  </si>
  <si>
    <t>X4</t>
  </si>
  <si>
    <t xml:space="preserve"> 3#22 sq.mm       THHN/THWN  and  1#8.0 sq.mm   THNN/THWN in 32mmØ INSIDE DIAMETER CONDUIT</t>
  </si>
  <si>
    <t>X5</t>
  </si>
  <si>
    <t xml:space="preserve"> 3#30 sq.mm       THHN/THWN  and  1#8.0 sq.mm   THNN/THWN in 32mmØ INSIDE DIAMETER CONDUIT</t>
  </si>
  <si>
    <t>X6</t>
  </si>
  <si>
    <t xml:space="preserve"> 3#50 sq.mm       THHN/THWN  and  1#14 sq.mm    THNN/THWN in 50mmØ INSIDE DIAMETER CONDUIT</t>
  </si>
  <si>
    <t>X7</t>
  </si>
  <si>
    <t>X8</t>
  </si>
  <si>
    <t xml:space="preserve"> 3#80 sq.mm       THHN/THWN  and  1#22 sq.mm    THNN/THWN in 50mmØ INSIDE DIAMETER CONDUIT</t>
  </si>
  <si>
    <t>X9</t>
  </si>
  <si>
    <t xml:space="preserve"> 3#100 sq.mm    THHN/THWN  and  1#30 sq.mm    THNN/THWN in 65mmØ INSIDE DIAMETER CONDUIT</t>
  </si>
  <si>
    <t>X10</t>
  </si>
  <si>
    <t xml:space="preserve"> 3#125sq.mm     THHN/THWN  and  1#30 sq.mm    THNN/THWN in 65mmØ INSIDE DIAMETER CONDUIT</t>
  </si>
  <si>
    <t>X11</t>
  </si>
  <si>
    <t xml:space="preserve"> 3#150 sq.mm    THHN/THWN  and  1#30 sq.mm    THNN/THWN in 80mmØ INSIDE DIAMETER CONDUIT</t>
  </si>
  <si>
    <t>X12</t>
  </si>
  <si>
    <t xml:space="preserve"> 3#200 sq.mm    THHN/THWN  and  1#30 sq.mm    THNN/THWN in 80mmØ INSIDE DIAMETER CONDUIT</t>
  </si>
  <si>
    <t>X13</t>
  </si>
  <si>
    <t xml:space="preserve"> 3#250 sq.mm    THHN/THWN  and  1#50 sq.mm    THNN/THWN in 90mmØ INSIDE DIAMETER CONDUIT</t>
  </si>
  <si>
    <t>3 PHASE: 3-WIRE + NEUTRAL + GROUND  :  FOR MAINS</t>
  </si>
  <si>
    <t>Y0</t>
  </si>
  <si>
    <t xml:space="preserve"> 5#2.0 mmØ         THHN/THWN in 15mmØ INSIDE DIAMETER CONDUIT</t>
  </si>
  <si>
    <t xml:space="preserve"> 4#5.5 sq.mm      THHM/THWN  and  1#2.0 mmØ      THNN/THWN in 20mmØ INSIDE DIAMETER CONDUIT</t>
  </si>
  <si>
    <t xml:space="preserve"> 4#8.0 sq.mm      THHM/THWN  and  1#5.5 sq.mm   THNN/THWN in 25mmØ INSIDE DIAMETER CONDUIT</t>
  </si>
  <si>
    <t>Y3</t>
  </si>
  <si>
    <t xml:space="preserve"> 4#14 sq.mm       THHM/THWN  and  1#8.0 sq.mm   THNN/THWN in 25mmØ INSIDE DIAMETER CONDUIT</t>
  </si>
  <si>
    <t>Y4</t>
  </si>
  <si>
    <t xml:space="preserve"> 4#22 sq.mm       THHM/THWN  and  1#8.0 sq.mm   THNN/THWN in 32mmØ INSIDE DIAMETER CONDUIT</t>
  </si>
  <si>
    <t>Y5</t>
  </si>
  <si>
    <t xml:space="preserve"> 4#30 sq.mm       THHM/THWN  and  1#8.0 sq.mm   THNN/THWN in 32mmØ INSIDE DIAMETER CONDUIT</t>
  </si>
  <si>
    <t>WXY-0</t>
  </si>
  <si>
    <t>15mmØ INSIDE DIAMETER CONDUIT</t>
  </si>
  <si>
    <t>Y6</t>
  </si>
  <si>
    <t xml:space="preserve"> 4#50 sq.mm       THHM/THWN  and  1#14 sq.mm    THNN/THWN in 50mmØ INSIDE DIAMETER CONDUIT</t>
  </si>
  <si>
    <t>WXY-1</t>
  </si>
  <si>
    <t>20mmØ INSIDE DIAMETER CONDUIT</t>
  </si>
  <si>
    <t>Y7</t>
  </si>
  <si>
    <t>WXY-2</t>
  </si>
  <si>
    <t>Y8</t>
  </si>
  <si>
    <t xml:space="preserve"> 4#80 sq.mm       THHM/THWN  and  1#22 sq.mm    THNN/THWN in 50mmØ INSIDE DIAMETER CONDUIT</t>
  </si>
  <si>
    <t>WXY-3</t>
  </si>
  <si>
    <t>25mmØ INSIDE DIAMETER CONDUIT</t>
  </si>
  <si>
    <t>Y9</t>
  </si>
  <si>
    <t xml:space="preserve"> 4#100 sq.mm    THHM/THWN  and  1#30 sq.mm    THNN/THWN in 65mmØ INSIDE DIAMETER CONDUIT</t>
  </si>
  <si>
    <t>WXY-4</t>
  </si>
  <si>
    <t>32mmØ INSIDE DIAMETER CONDUIT</t>
  </si>
  <si>
    <t>Y10</t>
  </si>
  <si>
    <t xml:space="preserve"> 4#125sq.mm     THHM/THWN  and  1#30 sq.mm    THNN/THWN in 65mmØ INSIDE DIAMETER CONDUIT</t>
  </si>
  <si>
    <t>WXY-5</t>
  </si>
  <si>
    <t>Y11</t>
  </si>
  <si>
    <t xml:space="preserve"> 4#150 sq.mm    THHM/THWN  and  1#30 sq.mm    THNN/THWN in 80mmØ INSIDE DIAMETER CONDUIT</t>
  </si>
  <si>
    <t>WXY-6</t>
  </si>
  <si>
    <t>50mmØ INSIDE DIAMETER CONDUIT</t>
  </si>
  <si>
    <t>Y12</t>
  </si>
  <si>
    <t xml:space="preserve"> 4#200 sq.mm    THHM/THWN  and  1#30 sq.mm    THNN/THWN in 80mmØ INSIDE DIAMETER CONDUIT</t>
  </si>
  <si>
    <t>WXY-7</t>
  </si>
  <si>
    <t>Y13</t>
  </si>
  <si>
    <t xml:space="preserve"> 4#250 sq.mm    THHM/THWN  and  1#50 sq.mm    THNN/THWN in 90mmØ INSIDE DIAMETER CONDUIT</t>
  </si>
  <si>
    <t>WXY-8</t>
  </si>
  <si>
    <t>WXY-9</t>
  </si>
  <si>
    <t>65mmØ INSIDE DIAMETER CONDUIT</t>
  </si>
  <si>
    <t>3 PHASE (FIRE-RATED OHLS): 3-WIRE + GROUND  :  FOR FIRE-LIFE SAFETY LOADS</t>
  </si>
  <si>
    <t>WXY-10</t>
  </si>
  <si>
    <t>ZX0</t>
  </si>
  <si>
    <t xml:space="preserve"> 4#2.0 mmØ       3-HOURS FIRE-RATED  CU/MICA/XLPE/LSOH CABLES in 25mmØ INSIDE DIAMETER CONDUIT</t>
  </si>
  <si>
    <t>WXY-11</t>
  </si>
  <si>
    <t>80mmØ INSIDE DIAMETER CONDUIT</t>
  </si>
  <si>
    <t>ZX1</t>
  </si>
  <si>
    <t xml:space="preserve"> 3#5.5 sq.mm    3-HOURS FIRE-RATED  CU/MICA/XLPE/LSOH CABLES  and 1#2.0 mmØ      THNN/THWN in 25mmØ ID CONDUIT</t>
  </si>
  <si>
    <t>WXY-12</t>
  </si>
  <si>
    <t>ZX2</t>
  </si>
  <si>
    <t xml:space="preserve"> 3#8.0 sq.mm    3-HOURS FIRE-RATED  CU/MICA/XLPE/LSOH CABLES and  1#5.5 sq.mm   THNN/THWN in 25mmØ ID CONDUIT</t>
  </si>
  <si>
    <t>WXY-13</t>
  </si>
  <si>
    <t>90mmØ INSIDE DIAMETER CONDUIT</t>
  </si>
  <si>
    <t>ZX3</t>
  </si>
  <si>
    <t xml:space="preserve"> 3#14 sq.mm     3-HOURS FIRE-RATED  CU/MICA/XLPE/LSOH CABLES  and  1#8.0 sq.mm   THNN/THWN in 25mmØ ID CONDUIT</t>
  </si>
  <si>
    <t>ZX4</t>
  </si>
  <si>
    <t xml:space="preserve"> 3#22 sq.mm     3-HOURS FIRE-RATED  CU/MICA/XLPE/LSOH CABLES  and  1#8.0 sq.mm   THNN/THWN in 32mmØ ID CONDUIT</t>
  </si>
  <si>
    <t>ZX5</t>
  </si>
  <si>
    <t xml:space="preserve"> 3#30 sq.mm     3-HOURS FIRE-RATED  CU/MICA/XLPE/LSOH CABLES  and  1#8.0 sq.mm   THNN/THWN in 50mmØ ID CONDUIT</t>
  </si>
  <si>
    <t>ZX6</t>
  </si>
  <si>
    <t xml:space="preserve"> 3#50 sq.mm     3-HOURS FIRE-RATED  CU/MICA/XLPE/LSOH CABLES  and  1#14 sq.mm    THNN/THWN in 50mmØ ID CONDUIT</t>
  </si>
  <si>
    <t>ZX7</t>
  </si>
  <si>
    <t>ZX8</t>
  </si>
  <si>
    <t xml:space="preserve"> 3#80 sq.mm     3-HOURS FIRE-RATED  CU/MICA/XLPE/LSOH CABLES  and  1#22 sq.mm    THNN/THWN in 50mmØ ID CONDUIT</t>
  </si>
  <si>
    <t>ZX9</t>
  </si>
  <si>
    <t xml:space="preserve"> 3#100 sq.mm  3-HOURS FIRE-RATED  CU/MICA/XLPE/LSOH CABLES  and  1#30 sq.mm    THNN/THWN in CABLE TRAY</t>
  </si>
  <si>
    <t>ZX10</t>
  </si>
  <si>
    <t xml:space="preserve"> 3#125sq.mm   3-HOURS FIRE-RATED  CU/MICA/XLPE/LSOH CABLES  and  1#30 sq.mm    THNN/THWN in CABLE TRAY</t>
  </si>
  <si>
    <t>ZX11</t>
  </si>
  <si>
    <t xml:space="preserve"> 3#150 sq.mm  3-HOURS FIRE-RATED  CU/MICA/XLPE/LSOH CABLES  and  1#30 sq.mm    THNN/THWN in CABLE TRAY</t>
  </si>
  <si>
    <t>ZX12</t>
  </si>
  <si>
    <t xml:space="preserve"> 3#200 sq.mm  3-HOURS FIRE-RATED  CU/MICA/XLPE/LSOH CABLES  and  1#30 sq.mm    THNN/THWN in CABLE TRAY</t>
  </si>
  <si>
    <t>ZX13</t>
  </si>
  <si>
    <t xml:space="preserve"> 3#250 sq.mm  3-HOURS FIRE-RATED  CU/MICA/XLPE/LSOH CABLES  and  1#50 sq.mm    THNN/THWN in CABLE TRAY</t>
  </si>
  <si>
    <t>3 PHASE (FIRE-RATED OHLS): 3-WIRE + NEUTRAL + GROUND  :  FOR FIRE-LIFE SAFETY LOADS</t>
  </si>
  <si>
    <t>ZY0</t>
  </si>
  <si>
    <t xml:space="preserve"> 5#2.0 mmØ       3-HOURS FIRE-RATED  CU/MICA/XLPE/LSOH CABLES in 25mmØ INSIDE DIAMETER CONDUIT</t>
  </si>
  <si>
    <t>ZY1</t>
  </si>
  <si>
    <t xml:space="preserve"> 4#5.5 sq.mm    3-HOURS FIRE-RATED  CU/MICA/XLPE/LSOH CABLES  and 1#5.5 sq.mm     THNN/THWN in 32mmØ ID CONDUIT</t>
  </si>
  <si>
    <t>ZY2</t>
  </si>
  <si>
    <t xml:space="preserve"> 4#8.0 sq.mm    3-HOURS FIRE-RATED  CU/MICA/XLPE/LSOH CABLES and  1#5.5 sq.mm   THNN/THWN in 32mmØ ID CONDUIT</t>
  </si>
  <si>
    <t>ZY3</t>
  </si>
  <si>
    <t xml:space="preserve"> 4#14 sq.mm     3-HOURS FIRE-RATED  CU/MICA/XLPE/LSOH CABLES  and  1#8.0 sq.mm   THNN/THWN in 32mmØ ID CONDUIT</t>
  </si>
  <si>
    <t>ZY4</t>
  </si>
  <si>
    <t xml:space="preserve"> 4#22 sq.mm     3-HOURS FIRE-RATED  CU/MICA/XLPE/LSOH CABLES  and  1#8.0 sq.mm   THNN/THWN in 32mmØ ID CONDUIT</t>
  </si>
  <si>
    <t>ZY5</t>
  </si>
  <si>
    <t xml:space="preserve"> 4#30 sq.mm     3-HOURS FIRE-RATED  CU/MICA/XLPE/LSOH CABLES  and  1#8.0 sq.mm   THNN/THWN in 50mmØ ID CONDUIT</t>
  </si>
  <si>
    <t>ZY6</t>
  </si>
  <si>
    <t xml:space="preserve"> 4#50 sq.mm     3-HOURS FIRE-RATED  CU/MICA/XLPE/LSOH CABLES  and  1#14 sq.mm    THNN/THWN in 50mmØ ID CONDUIT</t>
  </si>
  <si>
    <t>ZY7</t>
  </si>
  <si>
    <t>ZY8</t>
  </si>
  <si>
    <t xml:space="preserve"> 4#80 sq.mm     3-HOURS FIRE-RATED  CU/MICA/XLPE/LSOH CABLES  and  1#22 sq.mm    THNN/THWN in 50mmØ ID CONDUIT</t>
  </si>
  <si>
    <t>ZY9</t>
  </si>
  <si>
    <t xml:space="preserve"> 4#100 sq.mm  3-HOURS FIRE-RATED  CU/MICA/XLPE/LSOH CABLES  and  1#30 sq.mm    THNN/THWN in CABLE TRAY</t>
  </si>
  <si>
    <t>ZY10</t>
  </si>
  <si>
    <t xml:space="preserve"> 4#125sq.mm   3-HOURS FIRE-RATED  CU/MICA/XLPE/LSOH CABLES  and  1#30 sq.mm    THNN/THWN in CABLE TRAY</t>
  </si>
  <si>
    <t>ZY11</t>
  </si>
  <si>
    <t xml:space="preserve"> 4#150 sq.mm  3-HOURS FIRE-RATED  CU/MICA/XLPE/LSOH CABLES  and  1#30 sq.mm    THNN/THWN in CABLE TRAY</t>
  </si>
  <si>
    <t>ZY12</t>
  </si>
  <si>
    <t xml:space="preserve"> 4#200 sq.mm  3-HOURS FIRE-RATED  CU/MICA/XLPE/LSOH CABLES  and  1#30 sq.mm    THNN/THWN in CABLE TRAY</t>
  </si>
  <si>
    <t>ZY13</t>
  </si>
  <si>
    <t xml:space="preserve"> 4#250 sq.mm  3-HOURS FIRE-RATED  CU/MICA/XLPE/LSOH CABLES  and  1#50 sq.mm    THNN/THWN in CABLE TRAY</t>
  </si>
  <si>
    <t>3 PHASE (ALUMINUM): 3-WIRE + GROUND  :  MAINS (SIZE≈2×DIA. OF COPPER)</t>
  </si>
  <si>
    <t>AX9</t>
  </si>
  <si>
    <t xml:space="preserve"> 3#100sq.mm     THHN/THWN  and  1#30 sq.mm      THHN/THWN in 80mm INSIDE Ø CONDUIT</t>
  </si>
  <si>
    <t>80mmØ (INSIDE DIAMETER)</t>
  </si>
  <si>
    <t>AX10</t>
  </si>
  <si>
    <t xml:space="preserve"> 3#125sq.mm     THHN/THWN  and  1#50 sq.mm      THHN/THWN in 80mm INSIDE Ø CONDUIT</t>
  </si>
  <si>
    <t>AX11</t>
  </si>
  <si>
    <t xml:space="preserve"> 3#150sq.mm     THHN/THWN  and  1#50 sq.mm      THHN/THWN in 90mm INSIDE Ø CONDUIT</t>
  </si>
  <si>
    <t>90mmØ (INSIDE DIAMETER)</t>
  </si>
  <si>
    <t>AX12</t>
  </si>
  <si>
    <t xml:space="preserve"> 3#200sq.mm     THHN/THWN  and  1#60 sq.mm      THHN/THWN in 100mm INSIDE Ø CONDUIT</t>
  </si>
  <si>
    <t>100mmØ (INSIDE DIAMETER)</t>
  </si>
  <si>
    <t>AX13</t>
  </si>
  <si>
    <t xml:space="preserve"> 3#250sq.mm     THHN/THWN  and  1#80 sq.mm      THHN/THWN in 100mm INSIDE Ø CONDUIT</t>
  </si>
  <si>
    <t>AX14</t>
  </si>
  <si>
    <t xml:space="preserve"> 3#325sq.mm     THHN/THWN  and  1#100 sq.mm   THHN/THWN in 100mm INSIDE Ø CONDUIT</t>
  </si>
  <si>
    <t>2AX12</t>
  </si>
  <si>
    <t>2 SETS (3#125sq.mm     THHN/THWN  and  1#30 sq.mm    THHN/THWN in 100mm INSIDE Ø CONDUIT)</t>
  </si>
  <si>
    <t>2-100mmØ (INSIDE DIAMETER)</t>
  </si>
  <si>
    <t>2AX14</t>
  </si>
  <si>
    <t>3 SETS (3#125sq.mm     THHN/THWN  and  1#30 sq.mm    THHN/THWN in 100mm INSIDE Ø CONDUIT)</t>
  </si>
  <si>
    <t>3 PHASE (ALUMINUM): 3-WIRE + NEUTRAL + GROUND  :  MAINS (SIZE≈2×DIA. OF COPPER)</t>
  </si>
  <si>
    <t>AY9</t>
  </si>
  <si>
    <t xml:space="preserve"> 4#100sq.mm     THHN/THWN  and  1#30 sq.mm      THHN/THWN in 80mm INSIDE Ø CONDUIT</t>
  </si>
  <si>
    <t>AY10</t>
  </si>
  <si>
    <t xml:space="preserve"> 4#125sq.mm     THHN/THWN  and  1#50 sq.mm      THHN/THWN in 80mm INSIDE Ø CONDUIT</t>
  </si>
  <si>
    <t>AY11</t>
  </si>
  <si>
    <t xml:space="preserve"> 4#150sq.mm     THHN/THWN  and  1#50 sq.mm      THHN/THWN in 90mm INSIDE Ø CONDUIT</t>
  </si>
  <si>
    <t>AY12</t>
  </si>
  <si>
    <t xml:space="preserve"> 4#200sq.mm     THHN/THWN  and  1#60 sq.mm      THHN/THWN in 100mm INSIDE Ø CONDUIT</t>
  </si>
  <si>
    <t>AY13</t>
  </si>
  <si>
    <t xml:space="preserve"> 4#250sq.mm     THHN/THWN  and  1#80 sq.mm      THHN/THWN in 100mm INSIDE Ø CONDUIT</t>
  </si>
  <si>
    <t>AY14</t>
  </si>
  <si>
    <t xml:space="preserve"> 4#325sq.mm     THHN/THWN  and  1#100 sq.mm   THHN/THWN in 100mm INSIDE Ø CONDUIT</t>
  </si>
  <si>
    <t>2AY12</t>
  </si>
  <si>
    <t xml:space="preserve"> 2 SETS (4#125sq.mm     THHN/THWN  and  1#30 sq.mm    THHN/THWN in 100mm INSIDE Ø CONDUIT)</t>
  </si>
  <si>
    <t>2AY13</t>
  </si>
  <si>
    <t>1 PHASE (BRANCH  CABLE): 2-WIRE + GROUND</t>
  </si>
  <si>
    <t>BC-W1</t>
  </si>
  <si>
    <t xml:space="preserve"> 2#10 sq.mm       Cu PRE-FABRICATED BRANCH CABLE SYSTEM  and  1#8.0 sq.mm      THHN/THWN GROUND</t>
  </si>
  <si>
    <t>BC-W2</t>
  </si>
  <si>
    <t xml:space="preserve"> 2#16 sq.mm       Cu PRE-FABRICATED BRANCH CABLE SYSTEM  and  1#8.0 sq.mm      THHN/THWN GROUND</t>
  </si>
  <si>
    <t>BC-W3</t>
  </si>
  <si>
    <t xml:space="preserve"> 2#25 sq.mm       Cu PRE-FABRICATED BRANCH CABLE SYSTEM  and  1#8.0 sq.mm      THHN/THWN GROUND</t>
  </si>
  <si>
    <t>BC-W4</t>
  </si>
  <si>
    <t xml:space="preserve"> 2#35 sq.mm       Cu PRE-FABRICATED BRANCH CABLE SYSTEM  and  1#14.0 sq.mm      THHN/THWN GROUND</t>
  </si>
  <si>
    <t>BC-W5</t>
  </si>
  <si>
    <t xml:space="preserve"> 2#50 sq.mm       Cu PRE-FABRICATED BRANCH CABLE SYSTEM  and  1#14.0 sq.mm      THHN/THWN GROUND</t>
  </si>
  <si>
    <t>BC-W6</t>
  </si>
  <si>
    <t xml:space="preserve"> 2#70 sq.mm       Cu PRE-FABRICATED BRANCH CABLE SYSTEM  and  1#22.0 sq.mm      THHN/THWN GROUND</t>
  </si>
  <si>
    <t>BC-W7</t>
  </si>
  <si>
    <t xml:space="preserve"> 2#95 sq.mm       Cu PRE-FABRICATED BRANCH CABLE SYSTEM  and  1#30.0 sq.mm      THHN/THWN GROUND</t>
  </si>
  <si>
    <t>BC-W8</t>
  </si>
  <si>
    <t xml:space="preserve"> 2#120 sq.mm     Cu PRE-FABRICATED BRANCH CABLE SYSTEM  and  1#30.0 sq.mm      THHN/THWN GROUND</t>
  </si>
  <si>
    <t>BC-W9</t>
  </si>
  <si>
    <t xml:space="preserve"> 2#150 sq.mm     Cu PRE-FABRICATED BRANCH CABLE SYSTEM  and  1#30.0 sq.mm      THHN/THWN GROUND</t>
  </si>
  <si>
    <t>BC-W10</t>
  </si>
  <si>
    <t xml:space="preserve"> 2#186 sq.mm     Cu PRE-FABRICATED BRANCH CABLE SYSTEM  and  1#30.0 sq.mm      THHN/THWN GROUND</t>
  </si>
  <si>
    <t>3 PHASE (BRANCH  CABLE): 3-WIRE + NEUTRAL + GROUND</t>
  </si>
  <si>
    <t>BC-Y1</t>
  </si>
  <si>
    <t>BC-Y2</t>
  </si>
  <si>
    <t>BC-Y3</t>
  </si>
  <si>
    <t>BC-Y4</t>
  </si>
  <si>
    <t>BC-Y5</t>
  </si>
  <si>
    <t>BC-Y6</t>
  </si>
  <si>
    <t>BC-Y7</t>
  </si>
  <si>
    <t>BC-Y8</t>
  </si>
  <si>
    <t>BC-Y9</t>
  </si>
  <si>
    <t>BC-Y10</t>
  </si>
  <si>
    <t>k = Constant (2 for single phase, 1.732 for three phase</t>
  </si>
  <si>
    <t>I = Current in Amperes</t>
  </si>
  <si>
    <t>Short Circuit Calculation</t>
  </si>
  <si>
    <t>Phase</t>
  </si>
  <si>
    <t>IFL (3 Phase) = VA/(V*1.732)</t>
  </si>
  <si>
    <t>V Factor</t>
  </si>
  <si>
    <t>k</t>
  </si>
  <si>
    <t>IFL (1 Phase) = VA/V</t>
  </si>
  <si>
    <t>M (Transformer) = 100/(Transformer %Z)</t>
  </si>
  <si>
    <t>I(SC) = IFL * M</t>
  </si>
  <si>
    <t>f = (k*L*I)/C*n*V</t>
  </si>
  <si>
    <t>M = 1/(1 + f)</t>
  </si>
  <si>
    <t>IFL: Full Load Ampere</t>
  </si>
  <si>
    <t>f: Factor at Fault Point</t>
  </si>
  <si>
    <t>k: 1.732 (3-Phase), 2 (Single Phase)</t>
  </si>
  <si>
    <t>M: Multiplier at point f</t>
  </si>
  <si>
    <t>I(SC): Available Short-Circuit Current at Beginning of Circuit</t>
  </si>
  <si>
    <t>L: Length (ft) of Conductor to the Fault</t>
  </si>
  <si>
    <t>C: Constant from Conductor</t>
  </si>
  <si>
    <t>n: Number of Conductors per Phase</t>
  </si>
  <si>
    <t>V: Voltage</t>
  </si>
  <si>
    <t>Reference: Point-to-Point Calculation Procedure from Short Circtui Calculations, Bussmann by Eaton</t>
  </si>
  <si>
    <t xml:space="preserve"> </t>
  </si>
  <si>
    <t>V</t>
  </si>
  <si>
    <t>IFL</t>
  </si>
  <si>
    <t>%Z</t>
  </si>
  <si>
    <t>M</t>
  </si>
  <si>
    <t>I(SC)</t>
  </si>
  <si>
    <t>Fault #</t>
  </si>
  <si>
    <t>L</t>
  </si>
  <si>
    <t>I(SC) Old</t>
  </si>
  <si>
    <t>Wire Code</t>
  </si>
  <si>
    <t>C</t>
  </si>
  <si>
    <t>n</t>
  </si>
  <si>
    <t>SETS</t>
  </si>
  <si>
    <t>WIRE#</t>
  </si>
  <si>
    <t>WIRE DIA</t>
  </si>
  <si>
    <t>UNIT</t>
  </si>
  <si>
    <t>TYPE</t>
  </si>
  <si>
    <t>RACEWAY</t>
  </si>
  <si>
    <t>RACEWAY REF</t>
  </si>
  <si>
    <t>Ohms to Neutral per 305m</t>
  </si>
  <si>
    <t>XL (Reactance)</t>
  </si>
  <si>
    <t>AC Resitance -Cu</t>
  </si>
  <si>
    <t>AC Resistance-AL</t>
  </si>
  <si>
    <t>Steel</t>
  </si>
  <si>
    <t>Al</t>
  </si>
  <si>
    <t>mmØ</t>
  </si>
  <si>
    <t>THHN/THWN</t>
  </si>
  <si>
    <t>15mmØ</t>
  </si>
  <si>
    <t>INSIDE DIAMETER</t>
  </si>
  <si>
    <t>sq.mm</t>
  </si>
  <si>
    <t>THNN/THWN</t>
  </si>
  <si>
    <t>20mmØ</t>
  </si>
  <si>
    <t>THHM/THWN</t>
  </si>
  <si>
    <t>25mmØ</t>
  </si>
  <si>
    <t>32mmØ</t>
  </si>
  <si>
    <t>50mmØ</t>
  </si>
  <si>
    <t>65mmØ</t>
  </si>
  <si>
    <t>80mmØ</t>
  </si>
  <si>
    <t>90mmØ</t>
  </si>
  <si>
    <t>AWG/
(kcmil)</t>
  </si>
  <si>
    <t>1/0</t>
  </si>
  <si>
    <t>2/0</t>
  </si>
  <si>
    <t>3/0</t>
  </si>
  <si>
    <t>4/0</t>
  </si>
  <si>
    <t>3-HOURS FIRE-RATED CU/MICA/XLPE/LSOH CABLES</t>
  </si>
  <si>
    <t>TRAY</t>
  </si>
  <si>
    <t>80mm</t>
  </si>
  <si>
    <t>90mm</t>
  </si>
  <si>
    <t>100mm</t>
  </si>
  <si>
    <t>Cu PRE-FABRICATED BRANCH CABLE</t>
  </si>
  <si>
    <t>GRND DIA</t>
  </si>
  <si>
    <t>WIRE CODE</t>
  </si>
  <si>
    <t xml:space="preserve"> (mm dia.)</t>
  </si>
  <si>
    <t xml:space="preserve">Conductor Size </t>
  </si>
  <si>
    <t>[mm²]</t>
  </si>
  <si>
    <t>WIRE CORE SIZE</t>
  </si>
  <si>
    <t xml:space="preserve">Table 4. “C” Values for Conductors </t>
  </si>
  <si>
    <t>Copper</t>
  </si>
  <si>
    <t>or Conduit Conduit</t>
  </si>
  <si>
    <t>kcmil Steel Nonmagnetic Steel Nonmagnetic</t>
  </si>
  <si>
    <t>600V 5kV 15kV 600V 5kV 15kV 600V 5kV 15kV 600V 5kV 15kV</t>
  </si>
  <si>
    <t>14 389 - - 389 - - 389 - - 389 - -</t>
  </si>
  <si>
    <t>12 617 - - 617 - - 617 - - 617 - -</t>
  </si>
  <si>
    <t>10 981 - - 982 - - 982 - - 982 - -</t>
  </si>
  <si>
    <t>8 1557 1551 - 1559 1555 - 1559 1557 - 1560 1558 -</t>
  </si>
  <si>
    <t>6 2425 2406 2389 2430 2418 2407 2431 2425 2415 2433 2428 2421</t>
  </si>
  <si>
    <t>4 3806 3751 3696 3826 3789 3753 3830 3812 3779 3838 3823 3798</t>
  </si>
  <si>
    <t>3 4774 4674 4577 4811 4745 4679 4820 4785 4726 4833 4803 4762</t>
  </si>
  <si>
    <t>2 5907 5736 5574 6044 5926 5809 5989 5930 5828 6087 6023 5958</t>
  </si>
  <si>
    <t>1 7293 7029 6759 7493 7307 7109 7454 7365 7189 7579 7507 7364</t>
  </si>
  <si>
    <t>1/0 8925 8544 7973 9317 9034 8590 9210 9086 8708 9473 9373 9053</t>
  </si>
  <si>
    <t>2/0 10755 10062 9390 11424 10878 10319 11245 11045 10500 11703 11529 11053</t>
  </si>
  <si>
    <t>3/0 12844 11804 11022 13923 13048 12360 13656 13333 12613 14410 14119 13462</t>
  </si>
  <si>
    <t>4/0 15082 13606 12543 16673 15351 14347 16392 15890 14813 17483 17020 16013</t>
  </si>
  <si>
    <t>250 16483 14925 13644 18594 17121 15866 18311 17851 16466 19779 19352 18001</t>
  </si>
  <si>
    <t>300 18177 16293 14769 20868 18975 17409 20617 20052 18319 22525 21938 20163</t>
  </si>
  <si>
    <t>350 19704 17385 15678 22737 20526 18672 22646 21914 19821 24904 24126 21982</t>
  </si>
  <si>
    <t>400 20566 18235 16366 24297 21786 19731 24253 23372 21042 26916 26044 23518</t>
  </si>
  <si>
    <t>500 22185 19172 17492 26706 23277 21330 26980 25449 23126 30096 28712 25916</t>
  </si>
  <si>
    <t>600 22965 20567 17962 28033 25204 22097 28752 27975 24897 32154 31258 27766</t>
  </si>
  <si>
    <t>750 24137 21387 18889 29735 26453 23408 31051 30024 26933 34605 33315 29735</t>
  </si>
  <si>
    <t>1,000 25278 22539 19923 31491 28083 24887 33864 32689 29320 37197 35749 31959</t>
  </si>
  <si>
    <t>Aluminum</t>
  </si>
  <si>
    <t>14 237 - - 237 - - 237 - - 237 - -</t>
  </si>
  <si>
    <t>12 376 - - 376 - - 376 - - 376 - -</t>
  </si>
  <si>
    <t>10 599 - - 599 - - 599 - - 599 - -</t>
  </si>
  <si>
    <t>8 951 950 - 952 951 - 952 951 - 952 952 -</t>
  </si>
  <si>
    <t>6 1481 1476 1472 1482 1479 1476 1482 1480 1478 1482 1481 1479</t>
  </si>
  <si>
    <t>4 2346 2333 2319 2350 2342 2333 2351 2347 2339 2353 2350 2344</t>
  </si>
  <si>
    <t>3 2952 2928 2904 2961 2945 2929 2963 2955 2941 2966 2959 2949</t>
  </si>
  <si>
    <t>2 3713 3670 3626 3730 3702 3673 3734 3719 3693 3740 3725 3709</t>
  </si>
  <si>
    <t>1 4645 4575 4498 4678 4632 4580 4686 4664 4618 4699 4682 4646</t>
  </si>
  <si>
    <t>1/0 5777 5670 5493 5838 5766 5646 5852 5820 5717 5876 5852 5771</t>
  </si>
  <si>
    <t>2/0 7187 6968 6733 7301 7153 6986 7327 7271 7109 7373 7329 7202</t>
  </si>
  <si>
    <t>3/0 8826 8467 8163 9110 8851 8627 9077 8981 8751 9243 9164 8977</t>
  </si>
  <si>
    <t>4/0 10741 10167 9700 11174 10749 10387 11185 11022 10642 11409 11277 10969</t>
  </si>
  <si>
    <t>250 12122 11460 10849 12862 12343 11847 12797 12636 12115 13236 13106 12661</t>
  </si>
  <si>
    <t>300 13910 13009 12193 14923 14183 13492 14917 14698 13973 15495 15300 14659</t>
  </si>
  <si>
    <t>350 15484 14280 13288 16813 15858 14955 16795 16490 15541 17635 17352 16501</t>
  </si>
  <si>
    <t>400 16671 15355 14188 18506 17321 16234 18462 18064 16921 19588 19244 18154</t>
  </si>
  <si>
    <t>500 18756 16828 15657 21391 19503 18315 21395 20607 19314 23018 22381 20978</t>
  </si>
  <si>
    <t>600 20093 18428 16484 23451 21718 19635 23633 23196 21349 25708 25244 23295</t>
  </si>
  <si>
    <t>750 21766 19685 17686 25976 23702 21437 26432 25790 23750 29036 28262 25976</t>
  </si>
  <si>
    <t>1,000 23478 21235 19006 28779 26109 23482 29865 29049 26608 32938 31920 29135</t>
  </si>
  <si>
    <t>Three Single Conductors</t>
  </si>
  <si>
    <t xml:space="preserve"> Three-Conductor Cable</t>
  </si>
  <si>
    <t>Nonmagnetic</t>
  </si>
  <si>
    <t>600V</t>
  </si>
  <si>
    <t>5kV</t>
  </si>
  <si>
    <t>15kV</t>
  </si>
  <si>
    <t>AWG or kcmil</t>
  </si>
  <si>
    <t>Table 5. “C” Values for Busway</t>
  </si>
  <si>
    <t>Ampacity Busway</t>
  </si>
  <si>
    <t>Plug-In Feeder High Impedance</t>
  </si>
  <si>
    <t>Copper Aluminum Copper Aluminum Copper</t>
  </si>
  <si>
    <t xml:space="preserve">225 28700 23000 18700 12000 — </t>
  </si>
  <si>
    <t xml:space="preserve">400 38900 34700 23900 21300 — </t>
  </si>
  <si>
    <t xml:space="preserve">600 41000 38300 36500 31300 — </t>
  </si>
  <si>
    <t xml:space="preserve">800 46100 57500 49300 44100 — </t>
  </si>
  <si>
    <t>1000 69400 89300 62900 56200 15600</t>
  </si>
  <si>
    <t>1200 94300 97100 76900 69900 16100</t>
  </si>
  <si>
    <t>1350 119000 104200 90100 84000 17500</t>
  </si>
  <si>
    <t>1600 129900 120500 101000 90900 19200</t>
  </si>
  <si>
    <t>2000 142900 135100 134200 125000 20400</t>
  </si>
  <si>
    <t>2500 143800 156300 180500 166700 21700</t>
  </si>
  <si>
    <t>3000 144900 175400 204100 188700 23800</t>
  </si>
  <si>
    <t>4000 — — 277800 256400 —</t>
  </si>
  <si>
    <t>Ampacity</t>
  </si>
  <si>
    <t>Busway</t>
  </si>
  <si>
    <t>Plug-In</t>
  </si>
  <si>
    <t>Feeder</t>
  </si>
  <si>
    <t>—</t>
  </si>
  <si>
    <t>High Impedance</t>
  </si>
  <si>
    <t>CU</t>
  </si>
  <si>
    <t>AL</t>
  </si>
  <si>
    <t>3 Conductor Cable</t>
  </si>
  <si>
    <t>3 Single Conductors</t>
  </si>
  <si>
    <t>Cable Type</t>
  </si>
  <si>
    <t>I(SC) New</t>
  </si>
  <si>
    <t>f</t>
  </si>
  <si>
    <t>Conduit Type</t>
  </si>
  <si>
    <t>Wire Voltage Rating</t>
  </si>
  <si>
    <t>Conductor Type</t>
  </si>
  <si>
    <t>Fault (Xformer)</t>
  </si>
  <si>
    <t>Ref Fault #</t>
  </si>
  <si>
    <t>AT(x2.25)</t>
  </si>
  <si>
    <t>AT(x2.50)</t>
  </si>
  <si>
    <t>AC Resistance and Reactance for 600V Cables, 3-Phase, 60Hz, 75°C - Three (3) Single Conductors in Conduit PEC 2017 TABLE 10.1.1.9</t>
  </si>
  <si>
    <t>R = Line AC Resistance per 305m</t>
  </si>
  <si>
    <t>X = Line AC Reactance per 305m</t>
  </si>
  <si>
    <t>D = Distance or Length of the conductor (m)</t>
  </si>
  <si>
    <t>n = Number of wire per phase or the number of sets</t>
  </si>
  <si>
    <r>
      <t xml:space="preserve">Voltage Drop (Vd) = kDI x </t>
    </r>
    <r>
      <rPr>
        <sz val="11"/>
        <rFont val="Aptos Narrow"/>
      </rPr>
      <t>√(R²+X²) / n</t>
    </r>
  </si>
  <si>
    <r>
      <t>Voltage Drop (Vd) = kDI x [R*cos(</t>
    </r>
    <r>
      <rPr>
        <sz val="11"/>
        <color rgb="FF000000"/>
        <rFont val="Calibri"/>
        <family val="2"/>
      </rPr>
      <t>Ө</t>
    </r>
    <r>
      <rPr>
        <sz val="11"/>
        <color rgb="FF000000"/>
        <rFont val="Aptos Narrow"/>
      </rPr>
      <t>)+X*sin(Ө)] / n</t>
    </r>
  </si>
  <si>
    <t>Ө = cos(pf)</t>
  </si>
  <si>
    <t>pf = Power Factor, Assumed 85%</t>
  </si>
  <si>
    <t>VD Number</t>
  </si>
  <si>
    <t>R</t>
  </si>
  <si>
    <t>D</t>
  </si>
  <si>
    <t>I</t>
  </si>
  <si>
    <t>Voltage Drop</t>
  </si>
  <si>
    <t>Column1</t>
  </si>
  <si>
    <t>Wire Dia (mm²)</t>
  </si>
  <si>
    <t>Metal</t>
  </si>
  <si>
    <t>%VD</t>
  </si>
  <si>
    <t>Total VD</t>
  </si>
  <si>
    <t>Total % VD</t>
  </si>
  <si>
    <t>NOTE:</t>
  </si>
  <si>
    <t>3SC = 3 Single Conductors</t>
  </si>
  <si>
    <t>3CC = 3 Conductor Cable</t>
  </si>
  <si>
    <t>PVC = Nonmagnetic</t>
  </si>
  <si>
    <t>Stl = Steel</t>
  </si>
  <si>
    <t>3SC</t>
  </si>
  <si>
    <t>3CC</t>
  </si>
  <si>
    <t>Stl</t>
  </si>
  <si>
    <t>CU3SCStl600V</t>
  </si>
  <si>
    <t>CU3SCStl5kV</t>
  </si>
  <si>
    <t>CU3SCStl15kV</t>
  </si>
  <si>
    <t>CU3SCPVC600V</t>
  </si>
  <si>
    <t>CU3SCPVC5kV</t>
  </si>
  <si>
    <t>CU3SCPVC15kV</t>
  </si>
  <si>
    <t>CU3CCPVC600V</t>
  </si>
  <si>
    <t>CU3CCStl600V</t>
  </si>
  <si>
    <t>CU3CCStl5kV</t>
  </si>
  <si>
    <t>CU3CCStl15kV</t>
  </si>
  <si>
    <t>CU3CCPVC5kV</t>
  </si>
  <si>
    <t>CU3CCPVC15kV</t>
  </si>
  <si>
    <t>Conductor Type2</t>
  </si>
  <si>
    <t>Cable Rating</t>
  </si>
  <si>
    <t>BUS-CU</t>
  </si>
  <si>
    <t>AL3SCStl600V</t>
  </si>
  <si>
    <t>AL3SCStl5kV</t>
  </si>
  <si>
    <t>AL3SCStl15kV</t>
  </si>
  <si>
    <t>AL3SCPVC600V</t>
  </si>
  <si>
    <t>AL3SCPVC5kV</t>
  </si>
  <si>
    <t>AL3SCPVC15kV</t>
  </si>
  <si>
    <t>AL3CCStl600V</t>
  </si>
  <si>
    <t>AL3CCStl5kV</t>
  </si>
  <si>
    <t>AL3CCStl15kV</t>
  </si>
  <si>
    <t>AL3CCPVC600V</t>
  </si>
  <si>
    <t>AL3CCPVC5kV</t>
  </si>
  <si>
    <t>AL3CCPVC15kV</t>
  </si>
  <si>
    <t>Con Dia / Amp</t>
  </si>
  <si>
    <t>BUS-CU2</t>
  </si>
  <si>
    <t>BUS-CU3</t>
  </si>
  <si>
    <t>BUS-CU4</t>
  </si>
  <si>
    <t>BUS-CU5</t>
  </si>
  <si>
    <t>BUS-CU6</t>
  </si>
  <si>
    <t>BUS-CU7</t>
  </si>
  <si>
    <t>BUS-CU8</t>
  </si>
  <si>
    <t>BUS-CU9</t>
  </si>
  <si>
    <t>BUS-CU10</t>
  </si>
  <si>
    <t>BUS-CU11</t>
  </si>
  <si>
    <t>BUS-CU12</t>
  </si>
  <si>
    <t>BUS-AL1</t>
  </si>
  <si>
    <t>BUS-CU1</t>
  </si>
  <si>
    <t>BUS-AL2</t>
  </si>
  <si>
    <t>BUS-AL3</t>
  </si>
  <si>
    <t>BUS-AL4</t>
  </si>
  <si>
    <t>BUS-AL5</t>
  </si>
  <si>
    <t>BUS-AL6</t>
  </si>
  <si>
    <t>BUS-AL7</t>
  </si>
  <si>
    <t>BUS-AL8</t>
  </si>
  <si>
    <t>BUS-AL9</t>
  </si>
  <si>
    <t>BUS-AL10</t>
  </si>
  <si>
    <t>BUS-AL11</t>
  </si>
  <si>
    <t>BUS-AL12</t>
  </si>
  <si>
    <t>BUS-AL</t>
  </si>
  <si>
    <t>Busduct</t>
  </si>
  <si>
    <t>N/A</t>
  </si>
  <si>
    <t>NOTES</t>
  </si>
  <si>
    <t>METER</t>
  </si>
  <si>
    <t>FEET</t>
  </si>
  <si>
    <t>Transformer to Main Panel</t>
  </si>
  <si>
    <t>Main Panel to PB-2</t>
  </si>
  <si>
    <t>pb-2 to nearest outlet</t>
  </si>
  <si>
    <t>main to pb-1</t>
  </si>
  <si>
    <t>pb-1 to nearest outlet</t>
  </si>
  <si>
    <t xml:space="preserve"> 3#60 sq.mm       THHN/THWN  and  1#22 sq.mm    THNN/THWN in 50mmØ INSIDE DIAMETER CONDUIT</t>
  </si>
  <si>
    <t xml:space="preserve"> 2#60 sq.mm       THHN/THWN  and  1#22 sq.mm    THNN/THWN in 50mmØ INSIDE DIAMETER CONDUIT</t>
  </si>
  <si>
    <t xml:space="preserve"> 4#60 sq.mm       THHM/THWN  and  1#22 sq.mm    THNN/THWN in 50mmØ INSIDE DIAMETER CONDUIT</t>
  </si>
  <si>
    <t xml:space="preserve"> 3#60 sq.mm     3-HOURS FIRE-RATED  CU/MICA/XLPE/LSOH CABLES  and  1#22 sq.mm    THNN/THWN in 50mmØ ID CONDUIT</t>
  </si>
  <si>
    <t xml:space="preserve"> 4#60 sq.mm     3-HOURS FIRE-RATED  CU/MICA/XLPE/LSOH CABLES  and  1#22 sq.mm    THNN/THWN in 50mmØ ID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</si>
</sst>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0.0"/>
  </numFmts>
  <fonts count="12" x14ac:knownFonts="1">
    <font>
      <sz val="11"/>
      <color rgb="FF000000"/>
      <name val="Aptos Narrow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8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AEAEAE"/>
        <bgColor rgb="FFAEAEA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9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2" fontId="3" fillId="3" borderId="14" xfId="0" applyNumberFormat="1" applyFont="1" applyFill="1" applyBorder="1" applyAlignment="1">
      <alignment horizontal="center" vertical="center"/>
    </xf>
    <xf numFmtId="2" fontId="3" fillId="3" borderId="15" xfId="0" applyNumberFormat="1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0" fontId="3" fillId="4" borderId="14" xfId="0" applyFont="1" applyFill="1" applyBorder="1"/>
    <xf numFmtId="2" fontId="3" fillId="4" borderId="16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" fillId="0" borderId="5" xfId="0" applyFont="1" applyBorder="1"/>
    <xf numFmtId="0" fontId="3" fillId="0" borderId="10" xfId="0" applyFont="1" applyBorder="1"/>
    <xf numFmtId="0" fontId="3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1" fillId="0" borderId="10" xfId="0" applyFont="1" applyBorder="1"/>
    <xf numFmtId="0" fontId="3" fillId="0" borderId="18" xfId="0" applyFont="1" applyBorder="1"/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3" fillId="5" borderId="20" xfId="0" applyNumberFormat="1" applyFont="1" applyFill="1" applyBorder="1" applyAlignment="1">
      <alignment horizontal="center" vertical="center"/>
    </xf>
    <xf numFmtId="2" fontId="3" fillId="5" borderId="21" xfId="0" applyNumberFormat="1" applyFont="1" applyFill="1" applyBorder="1" applyAlignment="1">
      <alignment horizontal="center" vertical="center"/>
    </xf>
    <xf numFmtId="2" fontId="3" fillId="5" borderId="22" xfId="0" applyNumberFormat="1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3" fillId="0" borderId="10" xfId="0" applyNumberFormat="1" applyFont="1" applyBorder="1"/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2" fontId="3" fillId="0" borderId="12" xfId="0" applyNumberFormat="1" applyFont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1" fillId="0" borderId="1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9" xfId="0" applyFont="1" applyBorder="1"/>
    <xf numFmtId="2" fontId="3" fillId="5" borderId="23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/>
    </xf>
    <xf numFmtId="2" fontId="3" fillId="6" borderId="14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0" xfId="0" applyFont="1"/>
    <xf numFmtId="2" fontId="3" fillId="5" borderId="16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Alignment="1">
      <alignment horizontal="right" vertical="center"/>
    </xf>
    <xf numFmtId="12" fontId="3" fillId="0" borderId="0" xfId="0" applyNumberFormat="1" applyFont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3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7" borderId="20" xfId="0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19" xfId="0" applyNumberFormat="1" applyFont="1" applyBorder="1" applyAlignment="1">
      <alignment horizontal="center" vertical="center"/>
    </xf>
    <xf numFmtId="0" fontId="3" fillId="0" borderId="1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11" xfId="0" applyFont="1" applyBorder="1" applyAlignment="1">
      <alignment horizontal="right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2" fontId="3" fillId="0" borderId="11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0" xfId="0" applyFont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4" fontId="3" fillId="0" borderId="41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2" fontId="3" fillId="0" borderId="41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/>
    </xf>
    <xf numFmtId="0" fontId="3" fillId="0" borderId="5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0" fillId="0" borderId="26" xfId="0" applyBorder="1"/>
    <xf numFmtId="0" fontId="2" fillId="0" borderId="26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59" xfId="0" applyFont="1" applyBorder="1" applyAlignment="1">
      <alignment horizontal="left" vertical="center"/>
    </xf>
    <xf numFmtId="0" fontId="3" fillId="0" borderId="6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6" borderId="62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6" borderId="63" xfId="0" applyFont="1" applyFill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2" fontId="3" fillId="0" borderId="55" xfId="0" applyNumberFormat="1" applyFont="1" applyBorder="1" applyAlignment="1">
      <alignment horizontal="center" vertical="center"/>
    </xf>
    <xf numFmtId="164" fontId="3" fillId="0" borderId="55" xfId="0" applyNumberFormat="1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164" fontId="3" fillId="0" borderId="67" xfId="0" applyNumberFormat="1" applyFont="1" applyBorder="1" applyAlignment="1">
      <alignment horizontal="center" vertical="center"/>
    </xf>
    <xf numFmtId="164" fontId="3" fillId="0" borderId="68" xfId="0" applyNumberFormat="1" applyFont="1" applyBorder="1" applyAlignment="1">
      <alignment horizontal="center"/>
    </xf>
    <xf numFmtId="164" fontId="3" fillId="0" borderId="68" xfId="0" applyNumberFormat="1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0" fontId="0" fillId="0" borderId="53" xfId="0" applyBorder="1"/>
    <xf numFmtId="0" fontId="3" fillId="0" borderId="54" xfId="0" applyFont="1" applyBorder="1"/>
    <xf numFmtId="0" fontId="0" fillId="0" borderId="55" xfId="0" applyBorder="1"/>
    <xf numFmtId="0" fontId="0" fillId="0" borderId="7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" fillId="0" borderId="88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0" fillId="0" borderId="51" xfId="0" applyBorder="1"/>
    <xf numFmtId="0" fontId="0" fillId="0" borderId="54" xfId="0" applyBorder="1"/>
    <xf numFmtId="0" fontId="0" fillId="0" borderId="56" xfId="0" applyBorder="1"/>
    <xf numFmtId="0" fontId="0" fillId="0" borderId="52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/>
    <xf numFmtId="0" fontId="3" fillId="0" borderId="51" xfId="0" applyFont="1" applyBorder="1" applyAlignment="1">
      <alignment horizontal="center" vertical="center"/>
    </xf>
    <xf numFmtId="1" fontId="0" fillId="0" borderId="57" xfId="1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2" fillId="0" borderId="70" xfId="0" applyFont="1" applyBorder="1" applyAlignment="1">
      <alignment horizontal="center"/>
    </xf>
    <xf numFmtId="0" fontId="2" fillId="0" borderId="94" xfId="0" applyFont="1" applyBorder="1" applyAlignment="1">
      <alignment horizontal="center"/>
    </xf>
    <xf numFmtId="0" fontId="2" fillId="0" borderId="91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/>
    </xf>
    <xf numFmtId="0" fontId="2" fillId="0" borderId="95" xfId="0" applyFont="1" applyBorder="1" applyAlignment="1">
      <alignment horizontal="center"/>
    </xf>
    <xf numFmtId="165" fontId="2" fillId="9" borderId="34" xfId="0" applyNumberFormat="1" applyFont="1" applyFill="1" applyBorder="1" applyAlignment="1">
      <alignment horizontal="center"/>
    </xf>
    <xf numFmtId="0" fontId="2" fillId="8" borderId="33" xfId="0" applyFont="1" applyFill="1" applyBorder="1" applyAlignment="1" applyProtection="1">
      <alignment horizontal="center"/>
      <protection locked="0"/>
    </xf>
    <xf numFmtId="0" fontId="2" fillId="8" borderId="93" xfId="0" applyFont="1" applyFill="1" applyBorder="1" applyAlignment="1" applyProtection="1">
      <alignment horizontal="center"/>
      <protection locked="0"/>
    </xf>
    <xf numFmtId="0" fontId="2" fillId="8" borderId="95" xfId="0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0" borderId="11" xfId="0" applyNumberFormat="1" applyFont="1" applyBorder="1" applyAlignment="1" applyProtection="1">
      <alignment horizontal="center" vertical="center"/>
      <protection locked="0"/>
    </xf>
    <xf numFmtId="2" fontId="3" fillId="3" borderId="13" xfId="0" applyNumberFormat="1" applyFont="1" applyFill="1" applyBorder="1" applyAlignment="1" applyProtection="1">
      <alignment horizontal="center" vertical="center"/>
      <protection locked="0"/>
    </xf>
    <xf numFmtId="2" fontId="3" fillId="3" borderId="14" xfId="0" applyNumberFormat="1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2" fontId="3" fillId="3" borderId="15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4" borderId="14" xfId="0" applyFont="1" applyFill="1" applyBorder="1" applyAlignment="1" applyProtection="1">
      <alignment horizontal="center" vertical="center"/>
      <protection locked="0"/>
    </xf>
    <xf numFmtId="0" fontId="3" fillId="7" borderId="13" xfId="0" applyFont="1" applyFill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19" xfId="0" applyFont="1" applyBorder="1" applyProtection="1">
      <protection locked="0"/>
    </xf>
    <xf numFmtId="0" fontId="3" fillId="7" borderId="20" xfId="0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Protection="1">
      <protection locked="0"/>
    </xf>
    <xf numFmtId="0" fontId="3" fillId="7" borderId="21" xfId="0" applyFont="1" applyFill="1" applyBorder="1" applyAlignment="1" applyProtection="1">
      <alignment horizontal="center" vertical="center"/>
      <protection locked="0"/>
    </xf>
    <xf numFmtId="12" fontId="3" fillId="7" borderId="20" xfId="0" applyNumberFormat="1" applyFont="1" applyFill="1" applyBorder="1" applyAlignment="1" applyProtection="1">
      <alignment horizontal="center" vertical="center"/>
      <protection locked="0"/>
    </xf>
    <xf numFmtId="12" fontId="3" fillId="7" borderId="21" xfId="0" applyNumberFormat="1" applyFont="1" applyFill="1" applyBorder="1" applyAlignment="1" applyProtection="1">
      <alignment horizontal="center" vertical="center"/>
      <protection locked="0"/>
    </xf>
    <xf numFmtId="2" fontId="3" fillId="7" borderId="20" xfId="0" applyNumberFormat="1" applyFont="1" applyFill="1" applyBorder="1" applyAlignment="1" applyProtection="1">
      <alignment horizontal="center" vertical="center"/>
      <protection locked="0"/>
    </xf>
    <xf numFmtId="2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2" fillId="0" borderId="69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93" xfId="0" applyFont="1" applyBorder="1" applyAlignment="1" applyProtection="1">
      <alignment horizontal="center"/>
      <protection hidden="1"/>
    </xf>
    <xf numFmtId="0" fontId="2" fillId="0" borderId="95" xfId="0" applyFont="1" applyBorder="1" applyAlignment="1" applyProtection="1">
      <alignment horizontal="center"/>
      <protection hidden="1"/>
    </xf>
    <xf numFmtId="165" fontId="2" fillId="10" borderId="93" xfId="0" applyNumberFormat="1" applyFont="1" applyFill="1" applyBorder="1" applyAlignment="1" applyProtection="1">
      <alignment horizontal="center"/>
      <protection hidden="1"/>
    </xf>
    <xf numFmtId="0" fontId="2" fillId="0" borderId="83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3" fillId="5" borderId="22" xfId="0" applyFont="1" applyFill="1" applyBorder="1" applyAlignment="1" applyProtection="1">
      <alignment horizontal="center" vertical="center"/>
      <protection hidden="1"/>
    </xf>
    <xf numFmtId="0" fontId="2" fillId="0" borderId="51" xfId="0" applyFont="1" applyBorder="1"/>
    <xf numFmtId="0" fontId="0" fillId="0" borderId="51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65" fontId="0" fillId="0" borderId="93" xfId="0" applyNumberFormat="1" applyBorder="1" applyAlignment="1">
      <alignment horizontal="center" vertical="center"/>
    </xf>
    <xf numFmtId="165" fontId="9" fillId="9" borderId="53" xfId="0" applyNumberFormat="1" applyFont="1" applyFill="1" applyBorder="1"/>
    <xf numFmtId="10" fontId="0" fillId="0" borderId="80" xfId="2" applyNumberFormat="1" applyFont="1" applyBorder="1" applyAlignment="1">
      <alignment horizontal="center" vertical="center"/>
    </xf>
    <xf numFmtId="10" fontId="9" fillId="9" borderId="58" xfId="2" applyNumberFormat="1" applyFont="1" applyFill="1" applyBorder="1"/>
    <xf numFmtId="0" fontId="0" fillId="8" borderId="93" xfId="0" applyFill="1" applyBorder="1" applyAlignment="1" applyProtection="1">
      <alignment horizontal="center" vertical="center"/>
      <protection locked="0"/>
    </xf>
    <xf numFmtId="0" fontId="0" fillId="8" borderId="95" xfId="0" applyFill="1" applyBorder="1" applyAlignment="1" applyProtection="1">
      <alignment horizontal="center" vertical="center"/>
      <protection locked="0"/>
    </xf>
    <xf numFmtId="0" fontId="0" fillId="11" borderId="93" xfId="0" applyFill="1" applyBorder="1" applyAlignment="1" applyProtection="1">
      <alignment horizontal="center" vertical="center"/>
      <protection locked="0"/>
    </xf>
    <xf numFmtId="0" fontId="0" fillId="11" borderId="95" xfId="0" applyFill="1" applyBorder="1" applyAlignment="1" applyProtection="1">
      <alignment horizontal="center" vertical="center"/>
      <protection locked="0"/>
    </xf>
    <xf numFmtId="0" fontId="0" fillId="0" borderId="93" xfId="0" applyBorder="1" applyAlignment="1" applyProtection="1">
      <alignment horizontal="center" vertical="center"/>
      <protection hidden="1"/>
    </xf>
    <xf numFmtId="0" fontId="0" fillId="0" borderId="95" xfId="0" applyBorder="1" applyAlignment="1" applyProtection="1">
      <alignment horizontal="center" vertical="center"/>
      <protection hidden="1"/>
    </xf>
    <xf numFmtId="165" fontId="2" fillId="0" borderId="93" xfId="0" applyNumberFormat="1" applyFont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0" fillId="0" borderId="52" xfId="0" applyBorder="1"/>
    <xf numFmtId="0" fontId="10" fillId="0" borderId="26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0" fontId="11" fillId="0" borderId="94" xfId="0" applyFont="1" applyBorder="1" applyAlignment="1">
      <alignment horizontal="center"/>
    </xf>
    <xf numFmtId="165" fontId="2" fillId="9" borderId="80" xfId="0" applyNumberFormat="1" applyFont="1" applyFill="1" applyBorder="1" applyAlignment="1" applyProtection="1">
      <alignment horizontal="center" vertical="center"/>
      <protection hidden="1"/>
    </xf>
    <xf numFmtId="165" fontId="2" fillId="9" borderId="80" xfId="0" applyNumberFormat="1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6" borderId="62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8" borderId="63" xfId="0" applyFont="1" applyFill="1" applyBorder="1" applyAlignment="1">
      <alignment horizontal="center" vertical="center"/>
    </xf>
    <xf numFmtId="0" fontId="2" fillId="8" borderId="62" xfId="0" applyFont="1" applyFill="1" applyBorder="1" applyAlignment="1">
      <alignment horizontal="center" vertical="center"/>
    </xf>
    <xf numFmtId="0" fontId="2" fillId="8" borderId="93" xfId="0" applyFont="1" applyFill="1" applyBorder="1" applyAlignment="1" applyProtection="1">
      <alignment horizontal="center" vertical="center"/>
      <protection locked="0"/>
    </xf>
    <xf numFmtId="0" fontId="2" fillId="8" borderId="95" xfId="0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0" fillId="0" borderId="46" xfId="0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2" fontId="2" fillId="0" borderId="11" xfId="0" applyNumberFormat="1" applyFont="1" applyBorder="1" applyAlignment="1" applyProtection="1">
      <alignment horizontal="center" vertical="center"/>
      <protection locked="0"/>
    </xf>
    <xf numFmtId="2" fontId="2" fillId="0" borderId="12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88" xfId="0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8" borderId="91" xfId="0" applyFill="1" applyBorder="1" applyAlignment="1" applyProtection="1">
      <alignment horizontal="center" vertical="center"/>
      <protection locked="0"/>
    </xf>
    <xf numFmtId="2" fontId="0" fillId="0" borderId="70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1" fillId="0" borderId="5" xfId="0" applyFont="1" applyBorder="1" applyAlignment="1">
      <alignment horizontal="center" vertical="center"/>
    </xf>
    <xf numFmtId="0" fontId="2" fillId="0" borderId="7" xfId="0" applyFont="1" applyBorder="1"/>
    <xf numFmtId="0" fontId="1" fillId="0" borderId="4" xfId="0" applyFont="1" applyBorder="1" applyAlignment="1">
      <alignment horizontal="center" vertical="center"/>
    </xf>
    <xf numFmtId="0" fontId="2" fillId="0" borderId="8" xfId="0" applyFont="1" applyBorder="1"/>
    <xf numFmtId="0" fontId="3" fillId="4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3" fillId="0" borderId="18" xfId="0" applyFont="1" applyBorder="1" applyAlignment="1">
      <alignment horizontal="center" vertical="center"/>
    </xf>
    <xf numFmtId="0" fontId="2" fillId="0" borderId="9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5761D-F488-4037-8AC8-2A10886BCB2C}" name="Table1" displayName="Table1" ref="B16:P41" totalsRowShown="0" headerRowDxfId="41" headerRowBorderDxfId="40" tableBorderDxfId="39" totalsRowBorderDxfId="38">
  <autoFilter ref="B16:P41" xr:uid="{A6F1DDB6-61C4-4079-AD2E-1D546FFEFEC2}"/>
  <tableColumns count="15">
    <tableColumn id="1" xr3:uid="{482FAB82-4844-46AF-8F36-1010071CD54A}" name="VD Number" dataDxfId="37"/>
    <tableColumn id="2" xr3:uid="{4A447BC1-6731-44B1-9032-5EE6AA09360C}" name="Phase" dataDxfId="36"/>
    <tableColumn id="15" xr3:uid="{FD79D66E-C22F-4DF5-B5BF-02A5E972B765}" name="Column1" dataDxfId="35"/>
    <tableColumn id="3" xr3:uid="{A8D295E4-2F36-4228-832F-C10461DB77D4}" name="k" dataDxfId="34">
      <calculatedColumnFormula>_xlfn.IFNA(VLOOKUP(Table1[[#This Row],[Phase]],$J$2:$K$4, 2,FALSE), "-")</calculatedColumnFormula>
    </tableColumn>
    <tableColumn id="4" xr3:uid="{38C6D510-EC22-41AD-99E4-EC202526D0F0}" name="D" dataDxfId="33"/>
    <tableColumn id="5" xr3:uid="{32CC0DE4-F1F6-4DD7-AAC2-8726EFD1FB43}" name="I" dataDxfId="32"/>
    <tableColumn id="11" xr3:uid="{7913B53F-50E6-40C3-8956-EDCCA6954111}" name="n" dataDxfId="31"/>
    <tableColumn id="6" xr3:uid="{2CD804A9-C56A-41A0-8AC2-3FAE02442F10}" name="Wire Code" dataDxfId="30"/>
    <tableColumn id="7" xr3:uid="{D085924D-EEE9-47CF-AAC9-DE1DFEA8EBD2}" name="Conductor Type" dataDxfId="29">
      <calculatedColumnFormula>_xlfn.IFNA(VLOOKUP(Table1[[#This Row],[Wire Code]], 'Table Reference'!$Z$6:$AB$111, 3,FALSE), "-")</calculatedColumnFormula>
    </tableColumn>
    <tableColumn id="8" xr3:uid="{EA70D1F4-C66A-46D8-B7D4-B67395D39647}" name="Wire Dia (mm²)" dataDxfId="28">
      <calculatedColumnFormula>_xlfn.IFNA(VLOOKUP(VLOOKUP(Table1[[#This Row],[Wire Code]], 'Table Reference'!$Z$6:$AA$111, 2,FALSE), 'Table Reference'!$AD$6:$AE$26, 2, FALSE), "-")</calculatedColumnFormula>
    </tableColumn>
    <tableColumn id="13" xr3:uid="{6F1BC942-7F2D-4C71-8A7E-9A0E5448197C}" name="Conduit" dataDxfId="27"/>
    <tableColumn id="10" xr3:uid="{38718869-41A9-43F3-998F-1216D857EDFD}" name="R" dataDxfId="26">
      <calculatedColumnFormula>_xlfn.IFNA(VLOOKUP(Table1[[#This Row],[Wire Dia (mm²)]], 'Table Reference'!$B$7:$K$27, IF(Table1[[#This Row],[Conductor Type]]="CU", IF(Table1[[#This Row],[Conduit]]="PVC", 5, 7), IF(Table1[[#This Row],[Conduit]]="PVC", 8, 10)),FALSE), "-")</calculatedColumnFormula>
    </tableColumn>
    <tableColumn id="9" xr3:uid="{6F6C9DFD-7E23-4002-AA0B-3E596EAB1EAE}" name="X" dataDxfId="25">
      <calculatedColumnFormula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calculatedColumnFormula>
    </tableColumn>
    <tableColumn id="12" xr3:uid="{3FB2BB27-273B-4372-9B9D-E4451CBB7205}" name="Voltage Drop" dataDxfId="24">
      <calculatedColumnFormula>IFERROR(Table1[[#This Row],[k]]*Table1[[#This Row],[D]]*Table1[[#This Row],[I]]*(((Table1[[#This Row],[R]]*0.85)/305)+((Table1[[#This Row],[X]]*0.53)/305))/Table1[[#This Row],[n]], "-")</calculatedColumnFormula>
    </tableColumn>
    <tableColumn id="14" xr3:uid="{E496CB58-201B-4CA1-81AC-3C448EF0AC64}" name="%VD" dataDxfId="23">
      <calculatedColumnFormula>IFERROR(Table1[[#This Row],[Voltage Drop]]/Table1[[#This Row],[Column1]], 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C0BBD-5BAA-40A6-830B-91463E03F49E}" name="Table2" displayName="Table2" ref="B28:S52" totalsRowShown="0" headerRowDxfId="22" dataDxfId="20" headerRowBorderDxfId="21" tableBorderDxfId="19" totalsRowBorderDxfId="18">
  <autoFilter ref="B28:S52" xr:uid="{DC1C0BBD-5BAA-40A6-830B-91463E03F49E}"/>
  <tableColumns count="18">
    <tableColumn id="1" xr3:uid="{AA295809-42B2-43AF-B4B3-1E2AED23D136}" name="Fault #" dataDxfId="17"/>
    <tableColumn id="2" xr3:uid="{825F9A1F-00D7-462B-8332-2CC4877F2B1F}" name="Phase" dataDxfId="16"/>
    <tableColumn id="3" xr3:uid="{96968E09-C023-414C-A94D-293A9B7CC4B8}" name="k" dataDxfId="15">
      <calculatedColumnFormula>IF(COUNTIF($J$5:$J$6, C29)&gt;0, VLOOKUP(Table2[[#This Row],[Phase]], $J$5:$L$6, 3,FALSE), "-")</calculatedColumnFormula>
    </tableColumn>
    <tableColumn id="4" xr3:uid="{F090209D-4C28-49BE-BA22-3C0307067648}" name="L" dataDxfId="14"/>
    <tableColumn id="18" xr3:uid="{C95A0AFF-3633-4FFC-A780-DC9520E8CBB7}" name="Ref Fault #" dataDxfId="13"/>
    <tableColumn id="5" xr3:uid="{0E98AC1C-702C-408D-8279-5678EDC8C019}" name="I(SC) Old" dataDxfId="12"/>
    <tableColumn id="6" xr3:uid="{9B2EDA29-0C93-43C4-8358-608A439F0F73}" name="Wire Code" dataDxfId="11"/>
    <tableColumn id="13" xr3:uid="{CA33CAD3-27CE-4176-A764-67AE7CFE7343}" name="Con Dia / Amp" dataDxfId="10">
      <calculatedColumnFormula>_xlfn.IFNA(VLOOKUP(VLOOKUP(Table2[[#This Row],[Wire Code]], 'Table Reference'!$Z$6:$AA$135, 2, FALSE), 'Table Reference'!$AD$6:$AE$38, 2,FALSE), "-")</calculatedColumnFormula>
    </tableColumn>
    <tableColumn id="19" xr3:uid="{1EB656A9-63DD-4AB5-94DB-4E1572B9D654}" name="Conductor Type" dataDxfId="9">
      <calculatedColumnFormula>_xlfn.IFNA(VLOOKUP(Table2[[#This Row],[Wire Code]], 'Table Reference'!$Z$6:$AB$135, 3, FALSE), "-")</calculatedColumnFormula>
    </tableColumn>
    <tableColumn id="15" xr3:uid="{FE5A15AB-EF47-40AC-A35B-B1AB3614D04B}" name="Conductor Type2" dataDxfId="8"/>
    <tableColumn id="16" xr3:uid="{6F1DC28F-D145-41C1-B02B-C98EDD34B333}" name="Conduit Type" dataDxfId="7"/>
    <tableColumn id="17" xr3:uid="{B36525B2-342C-40F4-9681-36744D362925}" name="Cable Rating" dataDxfId="6"/>
    <tableColumn id="7" xr3:uid="{6CCEB126-9F1E-4365-87C2-2986AA6C7B12}" name="C" dataDxfId="5">
      <calculatedColumnFormula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calculatedColumnFormula>
    </tableColumn>
    <tableColumn id="8" xr3:uid="{5B8646B5-4101-45E4-B880-932C64CA7327}" name="n" dataDxfId="4">
      <calculatedColumnFormula>VLOOKUP(Table2[[#This Row],[Phase]], 'Short Circuit Analysis'!J4:M5, 4,FALSE)</calculatedColumnFormula>
    </tableColumn>
    <tableColumn id="9" xr3:uid="{2F28BC2D-4063-4B6A-B0A0-A8B9213A59E4}" name="V" dataDxfId="3"/>
    <tableColumn id="11" xr3:uid="{54BE8860-B47F-447C-A363-4840BE1F3E5C}" name="f" dataDxfId="2">
      <calculatedColumnFormula>IFERROR((Table2[[#This Row],[k]]*Table2[[#This Row],[L]]*Table2[[#This Row],[I(SC) Old]])/(Table2[[#This Row],[C]]*Table2[[#This Row],[n]]*Table2[[#This Row],[V]]), "-")</calculatedColumnFormula>
    </tableColumn>
    <tableColumn id="12" xr3:uid="{D6BE2862-543E-40A4-B932-86B1BEA9FC88}" name="M" dataDxfId="1">
      <calculatedColumnFormula>IFERROR(1/(1+Table2[[#This Row],[f]]), "-")</calculatedColumnFormula>
    </tableColumn>
    <tableColumn id="10" xr3:uid="{D55FFAD8-48F8-49F8-BAF8-B64197689B37}" name="I(SC) New" dataDxfId="0">
      <calculatedColumnFormula>IFERROR(_xlfn.IFNA(Table2[[#This Row],[I(SC) Old]]*Table2[[#This Row],[M]], "-"), "-")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43"/>
  <sheetViews>
    <sheetView tabSelected="1" topLeftCell="A108" zoomScale="85" zoomScaleNormal="85" workbookViewId="0">
      <selection activeCell="C7" sqref="C7"/>
    </sheetView>
  </sheetViews>
  <sheetFormatPr defaultColWidth="14.44140625" defaultRowHeight="15" customHeight="1" x14ac:dyDescent="0.3"/>
  <cols>
    <col min="1" max="4" width="8.6640625" customWidth="1"/>
    <col min="5" max="5" width="11.33203125" customWidth="1"/>
    <col min="6" max="10" width="8.6640625" customWidth="1"/>
    <col min="11" max="15" width="9" customWidth="1"/>
    <col min="16" max="17" width="8.6640625" customWidth="1"/>
    <col min="18" max="18" width="21.44140625" customWidth="1"/>
    <col min="19" max="28" width="8.6640625" customWidth="1"/>
  </cols>
  <sheetData>
    <row r="1" spans="1:28" ht="14.25" customHeight="1" x14ac:dyDescent="0.3">
      <c r="B1" s="344" t="s">
        <v>0</v>
      </c>
      <c r="C1" s="345"/>
      <c r="D1" s="345"/>
      <c r="E1" s="346"/>
    </row>
    <row r="2" spans="1:28" ht="14.25" customHeight="1" x14ac:dyDescent="0.3"/>
    <row r="3" spans="1:28" ht="14.25" customHeight="1" x14ac:dyDescent="0.3">
      <c r="B3" s="348" t="s">
        <v>1</v>
      </c>
      <c r="C3" s="345"/>
      <c r="D3" s="345"/>
      <c r="E3" s="346"/>
      <c r="G3" s="1" t="s">
        <v>2</v>
      </c>
      <c r="H3" s="347" t="s">
        <v>3</v>
      </c>
      <c r="I3" s="345"/>
      <c r="J3" s="346"/>
      <c r="L3" s="3" t="s">
        <v>4</v>
      </c>
      <c r="M3" s="2"/>
      <c r="N3" s="2"/>
      <c r="O3" s="4"/>
      <c r="P3" s="5"/>
      <c r="S3" s="6"/>
      <c r="T3" s="6"/>
      <c r="U3" s="6"/>
      <c r="V3" s="6"/>
      <c r="W3" s="6"/>
      <c r="AA3" s="6"/>
      <c r="AB3" s="6"/>
    </row>
    <row r="4" spans="1:28" ht="14.25" customHeight="1" x14ac:dyDescent="0.3">
      <c r="A4" s="6"/>
      <c r="B4" s="7" t="s">
        <v>5</v>
      </c>
      <c r="C4" s="8" t="s">
        <v>6</v>
      </c>
      <c r="D4" s="8" t="s">
        <v>7</v>
      </c>
      <c r="E4" s="9" t="s">
        <v>8</v>
      </c>
      <c r="G4" s="10"/>
      <c r="H4" s="11" t="s">
        <v>9</v>
      </c>
      <c r="I4" s="11" t="s">
        <v>8</v>
      </c>
      <c r="J4" s="11" t="s">
        <v>10</v>
      </c>
      <c r="L4" s="3" t="s">
        <v>9</v>
      </c>
      <c r="M4" s="2"/>
      <c r="N4" s="2" t="s">
        <v>8</v>
      </c>
      <c r="O4" s="4"/>
      <c r="P4" s="5" t="s">
        <v>10</v>
      </c>
      <c r="S4" s="6"/>
      <c r="T4" s="6"/>
      <c r="U4" s="6"/>
      <c r="V4" s="6"/>
      <c r="W4" s="6"/>
      <c r="AA4" s="6"/>
      <c r="AB4" s="6"/>
    </row>
    <row r="5" spans="1:28" ht="14.25" customHeight="1" x14ac:dyDescent="0.3">
      <c r="A5" s="6"/>
      <c r="B5" s="12"/>
      <c r="C5" s="6"/>
      <c r="D5" s="6"/>
      <c r="E5" s="13"/>
      <c r="G5" s="14"/>
      <c r="H5" s="15"/>
      <c r="I5" s="16"/>
      <c r="J5" s="16"/>
      <c r="L5" s="12"/>
      <c r="M5" s="6"/>
      <c r="N5" s="6"/>
      <c r="P5" s="13"/>
      <c r="S5" s="6"/>
      <c r="T5" s="6"/>
      <c r="U5" s="6"/>
      <c r="V5" s="6"/>
      <c r="W5" s="6"/>
      <c r="AA5" s="6"/>
      <c r="AB5" s="6"/>
    </row>
    <row r="6" spans="1:28" ht="14.25" customHeight="1" x14ac:dyDescent="0.3">
      <c r="A6" s="6">
        <v>1</v>
      </c>
      <c r="B6" s="252"/>
      <c r="C6" s="253">
        <v>32.909999999999997</v>
      </c>
      <c r="D6" s="253"/>
      <c r="E6" s="254"/>
      <c r="G6" s="257">
        <v>1.25</v>
      </c>
      <c r="H6" s="18">
        <f t="shared" ref="H6:H7" si="0">MAX(B6:D6)*G6</f>
        <v>41.137499999999996</v>
      </c>
      <c r="I6" s="19">
        <f t="shared" ref="I6:I7" si="1">E6*G6</f>
        <v>0</v>
      </c>
      <c r="J6" s="19">
        <f t="shared" ref="J6:J7" si="2">IF((H6+I6=0),"-",(MAX(B6:D6)+E6)*G6)</f>
        <v>41.137499999999996</v>
      </c>
      <c r="L6" s="17">
        <f t="shared" ref="L6:L7" si="3">SUM(B6:D6)*0.23</f>
        <v>7.5692999999999993</v>
      </c>
      <c r="M6" s="18"/>
      <c r="N6" s="18">
        <f t="shared" ref="N6:N7" si="4">E6*0.4*1.732</f>
        <v>0</v>
      </c>
      <c r="P6" s="19">
        <f t="shared" ref="P6:P7" si="5">IF(L6+N6=0,"-",L6+(E6*0.4*1.732))</f>
        <v>7.5692999999999993</v>
      </c>
      <c r="S6" s="6"/>
      <c r="T6" s="6"/>
      <c r="U6" s="6"/>
      <c r="V6" s="6"/>
      <c r="W6" s="6"/>
      <c r="AA6" s="6"/>
      <c r="AB6" s="6"/>
    </row>
    <row r="7" spans="1:28" ht="14.25" customHeight="1" x14ac:dyDescent="0.3">
      <c r="A7" s="6">
        <v>2</v>
      </c>
      <c r="B7" s="252"/>
      <c r="C7" s="253"/>
      <c r="D7" s="253"/>
      <c r="E7" s="254"/>
      <c r="G7" s="257">
        <v>1.25</v>
      </c>
      <c r="H7" s="18">
        <f t="shared" si="0"/>
        <v>0</v>
      </c>
      <c r="I7" s="19">
        <f t="shared" si="1"/>
        <v>0</v>
      </c>
      <c r="J7" s="19" t="str">
        <f t="shared" si="2"/>
        <v>-</v>
      </c>
      <c r="L7" s="17">
        <f t="shared" si="3"/>
        <v>0</v>
      </c>
      <c r="M7" s="18"/>
      <c r="N7" s="18">
        <f t="shared" si="4"/>
        <v>0</v>
      </c>
      <c r="P7" s="19" t="str">
        <f t="shared" si="5"/>
        <v>-</v>
      </c>
      <c r="S7" s="6"/>
      <c r="T7" s="6"/>
      <c r="U7" s="6"/>
      <c r="V7" s="6"/>
      <c r="W7" s="6"/>
      <c r="AA7" s="6"/>
      <c r="AB7" s="6"/>
    </row>
    <row r="8" spans="1:28" ht="14.25" customHeight="1" x14ac:dyDescent="0.3">
      <c r="A8" s="6"/>
      <c r="B8" s="255"/>
      <c r="C8" s="256"/>
      <c r="D8" s="256"/>
      <c r="E8" s="254"/>
      <c r="G8" s="258"/>
      <c r="H8" s="22"/>
      <c r="I8" s="24"/>
      <c r="J8" s="24"/>
      <c r="L8" s="25"/>
      <c r="M8" s="26"/>
      <c r="N8" s="26"/>
      <c r="O8" s="27"/>
      <c r="P8" s="28"/>
      <c r="R8" s="29"/>
      <c r="S8" s="8" t="s">
        <v>9</v>
      </c>
      <c r="T8" s="8"/>
      <c r="U8" s="8"/>
      <c r="V8" s="8"/>
      <c r="W8" s="9" t="s">
        <v>8</v>
      </c>
      <c r="Y8" s="30" t="s">
        <v>11</v>
      </c>
      <c r="Z8" s="15"/>
      <c r="AA8" s="15"/>
      <c r="AB8" s="16"/>
    </row>
    <row r="9" spans="1:28" ht="14.25" customHeight="1" x14ac:dyDescent="0.3">
      <c r="A9" s="6">
        <v>3</v>
      </c>
      <c r="B9" s="252"/>
      <c r="C9" s="253"/>
      <c r="D9" s="253"/>
      <c r="E9" s="254"/>
      <c r="G9" s="257">
        <v>1.25</v>
      </c>
      <c r="H9" s="18">
        <f t="shared" ref="H9:H10" si="6">MAX(B9:D9)*G9</f>
        <v>0</v>
      </c>
      <c r="I9" s="19">
        <f t="shared" ref="I9:I10" si="7">E9*G9</f>
        <v>0</v>
      </c>
      <c r="J9" s="19" t="str">
        <f t="shared" ref="J9:J10" si="8">IF((H9+I9=0),"-",(MAX(B9:D9)+E9)*G9)</f>
        <v>-</v>
      </c>
      <c r="L9" s="17">
        <f t="shared" ref="L9:L10" si="9">SUM(B9:D9)*0.23</f>
        <v>0</v>
      </c>
      <c r="M9" s="18"/>
      <c r="N9" s="18">
        <f t="shared" ref="N9:N10" si="10">E9*0.4*1.732</f>
        <v>0</v>
      </c>
      <c r="P9" s="19" t="str">
        <f t="shared" ref="P9:P10" si="11">IF(L9+N9=0,"-",L9+(E9*0.4*1.732))</f>
        <v>-</v>
      </c>
      <c r="R9" s="31"/>
      <c r="S9" s="32"/>
      <c r="T9" s="15"/>
      <c r="U9" s="15"/>
      <c r="V9" s="15"/>
      <c r="W9" s="16"/>
      <c r="Y9" s="31"/>
      <c r="Z9" s="259">
        <v>0.8</v>
      </c>
      <c r="AB9" s="19">
        <f t="shared" ref="AB9:AB15" si="12">$S$14*Z9</f>
        <v>6.0554399999999999</v>
      </c>
    </row>
    <row r="10" spans="1:28" ht="14.25" customHeight="1" x14ac:dyDescent="0.3">
      <c r="A10" s="6">
        <v>4</v>
      </c>
      <c r="B10" s="252"/>
      <c r="C10" s="253"/>
      <c r="D10" s="253"/>
      <c r="E10" s="254"/>
      <c r="G10" s="257">
        <v>1.25</v>
      </c>
      <c r="H10" s="18">
        <f t="shared" si="6"/>
        <v>0</v>
      </c>
      <c r="I10" s="19">
        <f t="shared" si="7"/>
        <v>0</v>
      </c>
      <c r="J10" s="19" t="str">
        <f t="shared" si="8"/>
        <v>-</v>
      </c>
      <c r="L10" s="17">
        <f t="shared" si="9"/>
        <v>0</v>
      </c>
      <c r="M10" s="18"/>
      <c r="N10" s="18">
        <f t="shared" si="10"/>
        <v>0</v>
      </c>
      <c r="P10" s="19" t="str">
        <f t="shared" si="11"/>
        <v>-</v>
      </c>
      <c r="R10" s="33" t="s">
        <v>12</v>
      </c>
      <c r="S10" s="17">
        <f t="shared" ref="S10:U10" si="13">B54*0.23</f>
        <v>0</v>
      </c>
      <c r="T10" s="18">
        <f t="shared" si="13"/>
        <v>7.5692999999999993</v>
      </c>
      <c r="U10" s="18">
        <f t="shared" si="13"/>
        <v>0</v>
      </c>
      <c r="V10" s="18"/>
      <c r="W10" s="19">
        <f>E54*0.4*1.732</f>
        <v>0</v>
      </c>
      <c r="Y10" s="31"/>
      <c r="Z10" s="259">
        <v>0.7</v>
      </c>
      <c r="AB10" s="19">
        <f t="shared" si="12"/>
        <v>5.2985099999999994</v>
      </c>
    </row>
    <row r="11" spans="1:28" ht="14.25" customHeight="1" x14ac:dyDescent="0.3">
      <c r="A11" s="6"/>
      <c r="B11" s="255"/>
      <c r="C11" s="256"/>
      <c r="D11" s="256"/>
      <c r="E11" s="254"/>
      <c r="G11" s="258"/>
      <c r="H11" s="22"/>
      <c r="I11" s="24"/>
      <c r="J11" s="24"/>
      <c r="L11" s="25"/>
      <c r="M11" s="26"/>
      <c r="N11" s="26"/>
      <c r="O11" s="27"/>
      <c r="P11" s="28"/>
      <c r="R11" s="12"/>
      <c r="S11" s="12"/>
      <c r="T11" s="6"/>
      <c r="U11" s="6"/>
      <c r="V11" s="6"/>
      <c r="W11" s="13"/>
      <c r="Y11" s="31"/>
      <c r="Z11" s="259">
        <v>0.6</v>
      </c>
      <c r="AB11" s="19">
        <f t="shared" si="12"/>
        <v>4.5415799999999997</v>
      </c>
    </row>
    <row r="12" spans="1:28" ht="14.25" customHeight="1" x14ac:dyDescent="0.3">
      <c r="A12" s="6">
        <v>5</v>
      </c>
      <c r="B12" s="252"/>
      <c r="C12" s="253"/>
      <c r="D12" s="253"/>
      <c r="E12" s="254"/>
      <c r="G12" s="257">
        <v>1.25</v>
      </c>
      <c r="H12" s="18">
        <f t="shared" ref="H12:H13" si="14">MAX(B12:D12)*G12</f>
        <v>0</v>
      </c>
      <c r="I12" s="19">
        <f t="shared" ref="I12:I13" si="15">E12*G12</f>
        <v>0</v>
      </c>
      <c r="J12" s="19" t="str">
        <f t="shared" ref="J12:J13" si="16">IF((H12+I12=0),"-",(MAX(B12:D12)+E12)*G12)</f>
        <v>-</v>
      </c>
      <c r="L12" s="17">
        <f t="shared" ref="L12:L13" si="17">SUM(B12:D12)*0.23</f>
        <v>0</v>
      </c>
      <c r="M12" s="18"/>
      <c r="N12" s="18">
        <f t="shared" ref="N12:N13" si="18">E12*0.4*1.732</f>
        <v>0</v>
      </c>
      <c r="P12" s="19" t="str">
        <f t="shared" ref="P12:P13" si="19">IF(L12+N12=0,"-",L12+(E12*0.4*1.732))</f>
        <v>-</v>
      </c>
      <c r="R12" s="33" t="s">
        <v>13</v>
      </c>
      <c r="S12" s="17">
        <f>SUM(S10:U10)</f>
        <v>7.5692999999999993</v>
      </c>
      <c r="T12" s="18"/>
      <c r="U12" s="18"/>
      <c r="V12" s="6"/>
      <c r="W12" s="19">
        <f>W10</f>
        <v>0</v>
      </c>
      <c r="Y12" s="31"/>
      <c r="Z12" s="259">
        <v>0.52</v>
      </c>
      <c r="AB12" s="19">
        <f t="shared" si="12"/>
        <v>3.9360359999999996</v>
      </c>
    </row>
    <row r="13" spans="1:28" ht="14.25" customHeight="1" x14ac:dyDescent="0.3">
      <c r="A13" s="6">
        <v>6</v>
      </c>
      <c r="B13" s="252"/>
      <c r="C13" s="253"/>
      <c r="D13" s="253"/>
      <c r="E13" s="254"/>
      <c r="G13" s="257">
        <v>1.25</v>
      </c>
      <c r="H13" s="18">
        <f t="shared" si="14"/>
        <v>0</v>
      </c>
      <c r="I13" s="19">
        <f t="shared" si="15"/>
        <v>0</v>
      </c>
      <c r="J13" s="19" t="str">
        <f t="shared" si="16"/>
        <v>-</v>
      </c>
      <c r="L13" s="17">
        <f t="shared" si="17"/>
        <v>0</v>
      </c>
      <c r="M13" s="18"/>
      <c r="N13" s="18">
        <f t="shared" si="18"/>
        <v>0</v>
      </c>
      <c r="P13" s="19" t="str">
        <f t="shared" si="19"/>
        <v>-</v>
      </c>
      <c r="R13" s="12"/>
      <c r="S13" s="12"/>
      <c r="T13" s="6"/>
      <c r="U13" s="6"/>
      <c r="V13" s="6"/>
      <c r="W13" s="13"/>
      <c r="Y13" s="31"/>
      <c r="Z13" s="259">
        <v>0.48</v>
      </c>
      <c r="AB13" s="19">
        <f t="shared" si="12"/>
        <v>3.6332639999999996</v>
      </c>
    </row>
    <row r="14" spans="1:28" ht="14.25" customHeight="1" x14ac:dyDescent="0.3">
      <c r="A14" s="6"/>
      <c r="B14" s="255"/>
      <c r="C14" s="256"/>
      <c r="D14" s="256"/>
      <c r="E14" s="254"/>
      <c r="G14" s="258"/>
      <c r="H14" s="22"/>
      <c r="I14" s="24"/>
      <c r="J14" s="24"/>
      <c r="L14" s="25"/>
      <c r="M14" s="26"/>
      <c r="N14" s="26"/>
      <c r="O14" s="27"/>
      <c r="P14" s="28"/>
      <c r="R14" s="34" t="s">
        <v>14</v>
      </c>
      <c r="S14" s="35">
        <f>SUM(S10:U10) +W10</f>
        <v>7.5692999999999993</v>
      </c>
      <c r="T14" s="36"/>
      <c r="U14" s="36"/>
      <c r="V14" s="36"/>
      <c r="W14" s="37"/>
      <c r="Y14" s="31"/>
      <c r="Z14" s="259">
        <v>0.28999999999999998</v>
      </c>
      <c r="AB14" s="19">
        <f t="shared" si="12"/>
        <v>2.1950969999999996</v>
      </c>
    </row>
    <row r="15" spans="1:28" ht="14.25" customHeight="1" x14ac:dyDescent="0.3">
      <c r="A15" s="6">
        <v>7</v>
      </c>
      <c r="B15" s="252"/>
      <c r="C15" s="253"/>
      <c r="D15" s="253"/>
      <c r="E15" s="334"/>
      <c r="G15" s="257">
        <v>1.25</v>
      </c>
      <c r="H15" s="18">
        <f t="shared" ref="H15:H16" si="20">MAX(B15:D15)*G15</f>
        <v>0</v>
      </c>
      <c r="I15" s="19">
        <f t="shared" ref="I15:I16" si="21">E15*G15</f>
        <v>0</v>
      </c>
      <c r="J15" s="19" t="str">
        <f t="shared" ref="J15:J16" si="22">IF((H15+I15=0),"-",(MAX(B15:D15)+E15)*G15)</f>
        <v>-</v>
      </c>
      <c r="L15" s="17">
        <f t="shared" ref="L15:L16" si="23">SUM(B15:D15)*0.23</f>
        <v>0</v>
      </c>
      <c r="M15" s="18"/>
      <c r="N15" s="18">
        <f t="shared" ref="N15:N16" si="24">E15*0.4*1.732</f>
        <v>0</v>
      </c>
      <c r="P15" s="19" t="str">
        <f t="shared" ref="P15:P16" si="25">IF(L15+N15=0,"-",L15+(E15*0.4*1.732))</f>
        <v>-</v>
      </c>
      <c r="S15" s="6"/>
      <c r="T15" s="6"/>
      <c r="U15" s="6"/>
      <c r="V15" s="6"/>
      <c r="W15" s="6"/>
      <c r="Y15" s="31"/>
      <c r="Z15" s="259">
        <v>0.2</v>
      </c>
      <c r="AB15" s="19">
        <f t="shared" si="12"/>
        <v>1.51386</v>
      </c>
    </row>
    <row r="16" spans="1:28" ht="14.25" customHeight="1" x14ac:dyDescent="0.3">
      <c r="A16" s="6">
        <v>8</v>
      </c>
      <c r="B16" s="252"/>
      <c r="C16" s="253"/>
      <c r="D16" s="253"/>
      <c r="E16" s="254"/>
      <c r="G16" s="257">
        <v>1.25</v>
      </c>
      <c r="H16" s="18">
        <f t="shared" si="20"/>
        <v>0</v>
      </c>
      <c r="I16" s="19">
        <f t="shared" si="21"/>
        <v>0</v>
      </c>
      <c r="J16" s="19" t="str">
        <f t="shared" si="22"/>
        <v>-</v>
      </c>
      <c r="L16" s="17">
        <f t="shared" si="23"/>
        <v>0</v>
      </c>
      <c r="M16" s="18"/>
      <c r="N16" s="18">
        <f t="shared" si="24"/>
        <v>0</v>
      </c>
      <c r="P16" s="19" t="str">
        <f t="shared" si="25"/>
        <v>-</v>
      </c>
      <c r="S16" s="6"/>
      <c r="T16" s="6"/>
      <c r="U16" s="6"/>
      <c r="V16" s="6"/>
      <c r="W16" s="6"/>
      <c r="Y16" s="31"/>
      <c r="Z16" s="6"/>
      <c r="AA16" s="6"/>
      <c r="AB16" s="13"/>
    </row>
    <row r="17" spans="1:28" ht="14.25" customHeight="1" x14ac:dyDescent="0.3">
      <c r="A17" s="6"/>
      <c r="B17" s="255"/>
      <c r="C17" s="256"/>
      <c r="D17" s="256"/>
      <c r="E17" s="254"/>
      <c r="G17" s="258"/>
      <c r="H17" s="22"/>
      <c r="I17" s="24"/>
      <c r="J17" s="24"/>
      <c r="L17" s="25"/>
      <c r="M17" s="26"/>
      <c r="N17" s="26"/>
      <c r="O17" s="27"/>
      <c r="P17" s="28"/>
      <c r="S17" s="6"/>
      <c r="T17" s="6"/>
      <c r="U17" s="6"/>
      <c r="V17" s="6"/>
      <c r="W17" s="6"/>
      <c r="Y17" s="38" t="s">
        <v>15</v>
      </c>
      <c r="Z17" s="259">
        <v>0.8</v>
      </c>
      <c r="AA17" s="259"/>
      <c r="AB17" s="13">
        <f t="shared" ref="AB17:AB22" si="26">AA17*Z17</f>
        <v>0</v>
      </c>
    </row>
    <row r="18" spans="1:28" ht="14.25" customHeight="1" x14ac:dyDescent="0.3">
      <c r="A18" s="6">
        <v>9</v>
      </c>
      <c r="B18" s="252"/>
      <c r="C18" s="253"/>
      <c r="D18" s="253"/>
      <c r="E18" s="254"/>
      <c r="G18" s="257">
        <v>1.25</v>
      </c>
      <c r="H18" s="18">
        <f t="shared" ref="H18:H19" si="27">MAX(B18:D18)*G18</f>
        <v>0</v>
      </c>
      <c r="I18" s="19">
        <f t="shared" ref="I18:I19" si="28">E18*G18</f>
        <v>0</v>
      </c>
      <c r="J18" s="19" t="str">
        <f t="shared" ref="J18:J19" si="29">IF((H18+I18=0),"-",(MAX(B18:D18)+E18)*G18)</f>
        <v>-</v>
      </c>
      <c r="L18" s="17">
        <f t="shared" ref="L18:L19" si="30">SUM(B18:D18)*0.23</f>
        <v>0</v>
      </c>
      <c r="M18" s="18"/>
      <c r="N18" s="18">
        <f t="shared" ref="N18:N19" si="31">E18*0.4*1.732</f>
        <v>0</v>
      </c>
      <c r="P18" s="19" t="str">
        <f t="shared" ref="P18:P19" si="32">IF(L18+N18=0,"-",L18+(E18*0.4*1.732))</f>
        <v>-</v>
      </c>
      <c r="S18" s="6"/>
      <c r="T18" s="6"/>
      <c r="U18" s="6"/>
      <c r="V18" s="6"/>
      <c r="W18" s="6"/>
      <c r="Y18" s="31"/>
      <c r="Z18" s="259">
        <v>0.7</v>
      </c>
      <c r="AA18" s="259"/>
      <c r="AB18" s="13">
        <f t="shared" si="26"/>
        <v>0</v>
      </c>
    </row>
    <row r="19" spans="1:28" ht="14.25" customHeight="1" x14ac:dyDescent="0.3">
      <c r="A19" s="6">
        <v>10</v>
      </c>
      <c r="B19" s="252"/>
      <c r="C19" s="253"/>
      <c r="D19" s="253"/>
      <c r="E19" s="254"/>
      <c r="G19" s="257">
        <v>1.25</v>
      </c>
      <c r="H19" s="18">
        <f t="shared" si="27"/>
        <v>0</v>
      </c>
      <c r="I19" s="19">
        <f t="shared" si="28"/>
        <v>0</v>
      </c>
      <c r="J19" s="19" t="str">
        <f t="shared" si="29"/>
        <v>-</v>
      </c>
      <c r="L19" s="17">
        <f t="shared" si="30"/>
        <v>0</v>
      </c>
      <c r="M19" s="18"/>
      <c r="N19" s="18">
        <f t="shared" si="31"/>
        <v>0</v>
      </c>
      <c r="P19" s="19" t="str">
        <f t="shared" si="32"/>
        <v>-</v>
      </c>
      <c r="R19" s="30" t="s">
        <v>16</v>
      </c>
      <c r="S19" s="15"/>
      <c r="T19" s="15"/>
      <c r="U19" s="16"/>
      <c r="V19" s="6"/>
      <c r="W19" s="6"/>
      <c r="Y19" s="31"/>
      <c r="Z19" s="259">
        <v>0.6</v>
      </c>
      <c r="AA19" s="259"/>
      <c r="AB19" s="13">
        <f t="shared" si="26"/>
        <v>0</v>
      </c>
    </row>
    <row r="20" spans="1:28" ht="14.25" customHeight="1" x14ac:dyDescent="0.3">
      <c r="A20" s="6"/>
      <c r="B20" s="255"/>
      <c r="C20" s="256"/>
      <c r="D20" s="256"/>
      <c r="E20" s="254"/>
      <c r="G20" s="258"/>
      <c r="H20" s="22"/>
      <c r="I20" s="24"/>
      <c r="J20" s="24"/>
      <c r="L20" s="25"/>
      <c r="M20" s="26"/>
      <c r="N20" s="26"/>
      <c r="O20" s="27"/>
      <c r="P20" s="28"/>
      <c r="R20" s="31"/>
      <c r="S20" s="6"/>
      <c r="T20" s="6" t="s">
        <v>9</v>
      </c>
      <c r="U20" s="13" t="s">
        <v>8</v>
      </c>
      <c r="V20" s="6"/>
      <c r="W20" s="6"/>
      <c r="Y20" s="31"/>
      <c r="Z20" s="259">
        <v>0.5</v>
      </c>
      <c r="AA20" s="259"/>
      <c r="AB20" s="13">
        <f t="shared" si="26"/>
        <v>0</v>
      </c>
    </row>
    <row r="21" spans="1:28" ht="14.25" customHeight="1" x14ac:dyDescent="0.3">
      <c r="A21" s="6">
        <v>11</v>
      </c>
      <c r="B21" s="252"/>
      <c r="C21" s="253"/>
      <c r="D21" s="253"/>
      <c r="E21" s="254"/>
      <c r="G21" s="257">
        <v>1.25</v>
      </c>
      <c r="H21" s="18">
        <f t="shared" ref="H21:H22" si="33">MAX(B21:D21)*G21</f>
        <v>0</v>
      </c>
      <c r="I21" s="19">
        <f t="shared" ref="I21:I22" si="34">E21*G21</f>
        <v>0</v>
      </c>
      <c r="J21" s="19" t="str">
        <f t="shared" ref="J21:J22" si="35">IF((H21+I21=0),"-",(MAX(B21:D21)+E21)*G21)</f>
        <v>-</v>
      </c>
      <c r="L21" s="17">
        <f t="shared" ref="L21:L22" si="36">SUM(B21:D21)*0.23</f>
        <v>0</v>
      </c>
      <c r="M21" s="18"/>
      <c r="N21" s="18">
        <f t="shared" ref="N21:N22" si="37">E21*0.4*1.732</f>
        <v>0</v>
      </c>
      <c r="P21" s="19" t="str">
        <f t="shared" ref="P21:P22" si="38">IF(L21+N21=0,"-",L21+(E21*0.4*1.732))</f>
        <v>-</v>
      </c>
      <c r="R21" s="31"/>
      <c r="S21" s="6"/>
      <c r="T21" s="6"/>
      <c r="U21" s="13"/>
      <c r="V21" s="6"/>
      <c r="W21" s="6"/>
      <c r="Y21" s="31"/>
      <c r="Z21" s="259">
        <v>0.4</v>
      </c>
      <c r="AA21" s="259"/>
      <c r="AB21" s="13">
        <f t="shared" si="26"/>
        <v>0</v>
      </c>
    </row>
    <row r="22" spans="1:28" ht="14.25" customHeight="1" x14ac:dyDescent="0.3">
      <c r="A22" s="6">
        <v>12</v>
      </c>
      <c r="B22" s="252"/>
      <c r="C22" s="253"/>
      <c r="D22" s="253"/>
      <c r="E22" s="254"/>
      <c r="G22" s="257">
        <v>1.25</v>
      </c>
      <c r="H22" s="18">
        <f t="shared" si="33"/>
        <v>0</v>
      </c>
      <c r="I22" s="19">
        <f t="shared" si="34"/>
        <v>0</v>
      </c>
      <c r="J22" s="19" t="str">
        <f t="shared" si="35"/>
        <v>-</v>
      </c>
      <c r="L22" s="17">
        <f t="shared" si="36"/>
        <v>0</v>
      </c>
      <c r="M22" s="18"/>
      <c r="N22" s="18">
        <f t="shared" si="37"/>
        <v>0</v>
      </c>
      <c r="P22" s="19" t="str">
        <f t="shared" si="38"/>
        <v>-</v>
      </c>
      <c r="R22" s="31" t="s">
        <v>1</v>
      </c>
      <c r="S22" s="6"/>
      <c r="T22" s="18">
        <f>MAX(B54:D54)</f>
        <v>32.909999999999997</v>
      </c>
      <c r="U22" s="19">
        <f>E54</f>
        <v>0</v>
      </c>
      <c r="V22" s="6"/>
      <c r="W22" s="6"/>
      <c r="Y22" s="39"/>
      <c r="Z22" s="260">
        <v>0.3</v>
      </c>
      <c r="AA22" s="260"/>
      <c r="AB22" s="41">
        <f t="shared" si="26"/>
        <v>0</v>
      </c>
    </row>
    <row r="23" spans="1:28" ht="14.25" customHeight="1" x14ac:dyDescent="0.3">
      <c r="A23" s="6"/>
      <c r="B23" s="255"/>
      <c r="C23" s="256"/>
      <c r="D23" s="256"/>
      <c r="E23" s="254"/>
      <c r="G23" s="258"/>
      <c r="H23" s="22"/>
      <c r="I23" s="24"/>
      <c r="J23" s="24"/>
      <c r="L23" s="25"/>
      <c r="M23" s="26"/>
      <c r="N23" s="26"/>
      <c r="O23" s="27"/>
      <c r="P23" s="28"/>
      <c r="R23" s="31"/>
      <c r="S23" s="6"/>
      <c r="T23" s="6"/>
      <c r="U23" s="13"/>
      <c r="V23" s="6"/>
      <c r="W23" s="6"/>
      <c r="Z23" s="6"/>
      <c r="AA23" s="6"/>
      <c r="AB23" s="6"/>
    </row>
    <row r="24" spans="1:28" ht="14.25" customHeight="1" x14ac:dyDescent="0.3">
      <c r="A24" s="6">
        <v>13</v>
      </c>
      <c r="B24" s="252"/>
      <c r="C24" s="253"/>
      <c r="D24" s="253"/>
      <c r="E24" s="254"/>
      <c r="G24" s="257">
        <v>1.25</v>
      </c>
      <c r="H24" s="18">
        <f t="shared" ref="H24:H25" si="39">MAX(B24:D24)*G24</f>
        <v>0</v>
      </c>
      <c r="I24" s="19">
        <f t="shared" ref="I24:I25" si="40">E24*G24</f>
        <v>0</v>
      </c>
      <c r="J24" s="19" t="str">
        <f t="shared" ref="J24:J25" si="41">IF((H24+I24=0),"-",(MAX(B24:D24)+E24)*G24)</f>
        <v>-</v>
      </c>
      <c r="L24" s="17">
        <f t="shared" ref="L24:L25" si="42">SUM(B24:D24)*0.23</f>
        <v>0</v>
      </c>
      <c r="M24" s="18"/>
      <c r="N24" s="18">
        <f t="shared" ref="N24:N25" si="43">E24*0.4*1.732</f>
        <v>0</v>
      </c>
      <c r="P24" s="19" t="str">
        <f t="shared" ref="P24:P25" si="44">IF(L24+N24=0,"-",L24+(E24*0.4*1.732))</f>
        <v>-</v>
      </c>
      <c r="R24" s="31" t="s">
        <v>17</v>
      </c>
      <c r="S24" s="6"/>
      <c r="T24" s="18">
        <f>T22+U22</f>
        <v>32.909999999999997</v>
      </c>
      <c r="U24" s="13"/>
      <c r="V24" s="6"/>
      <c r="W24" s="6"/>
      <c r="Z24" s="6"/>
      <c r="AA24" s="6"/>
      <c r="AB24" s="6"/>
    </row>
    <row r="25" spans="1:28" ht="14.25" customHeight="1" x14ac:dyDescent="0.3">
      <c r="A25" s="6">
        <v>14</v>
      </c>
      <c r="B25" s="252"/>
      <c r="C25" s="253"/>
      <c r="D25" s="253"/>
      <c r="E25" s="254"/>
      <c r="G25" s="257">
        <v>1.25</v>
      </c>
      <c r="H25" s="18">
        <f t="shared" si="39"/>
        <v>0</v>
      </c>
      <c r="I25" s="19">
        <f t="shared" si="40"/>
        <v>0</v>
      </c>
      <c r="J25" s="19" t="str">
        <f t="shared" si="41"/>
        <v>-</v>
      </c>
      <c r="L25" s="17">
        <f t="shared" si="42"/>
        <v>0</v>
      </c>
      <c r="M25" s="18"/>
      <c r="N25" s="18">
        <f t="shared" si="43"/>
        <v>0</v>
      </c>
      <c r="P25" s="19" t="str">
        <f t="shared" si="44"/>
        <v>-</v>
      </c>
      <c r="R25" s="31"/>
      <c r="S25" s="6"/>
      <c r="T25" s="6"/>
      <c r="U25" s="13"/>
      <c r="V25" s="6"/>
      <c r="W25" s="6"/>
      <c r="Z25" s="6"/>
      <c r="AA25" s="6"/>
      <c r="AB25" s="6"/>
    </row>
    <row r="26" spans="1:28" ht="14.25" customHeight="1" x14ac:dyDescent="0.3">
      <c r="A26" s="6"/>
      <c r="B26" s="255"/>
      <c r="C26" s="256"/>
      <c r="D26" s="256"/>
      <c r="E26" s="254"/>
      <c r="G26" s="258"/>
      <c r="H26" s="22"/>
      <c r="I26" s="24"/>
      <c r="J26" s="24"/>
      <c r="L26" s="25"/>
      <c r="M26" s="26"/>
      <c r="N26" s="26"/>
      <c r="O26" s="27"/>
      <c r="P26" s="28"/>
      <c r="R26" s="39" t="s">
        <v>18</v>
      </c>
      <c r="S26" s="40"/>
      <c r="T26" s="40">
        <f>T24*1.25</f>
        <v>41.137499999999996</v>
      </c>
      <c r="U26" s="41"/>
      <c r="V26" s="6"/>
      <c r="W26" s="6"/>
      <c r="Y26" s="30" t="s">
        <v>19</v>
      </c>
      <c r="Z26" s="15"/>
      <c r="AA26" s="15"/>
      <c r="AB26" s="16"/>
    </row>
    <row r="27" spans="1:28" ht="14.25" customHeight="1" x14ac:dyDescent="0.3">
      <c r="A27" s="6">
        <v>15</v>
      </c>
      <c r="B27" s="252"/>
      <c r="C27" s="253"/>
      <c r="D27" s="253"/>
      <c r="E27" s="254"/>
      <c r="G27" s="257">
        <v>1.25</v>
      </c>
      <c r="H27" s="18">
        <f t="shared" ref="H27:H28" si="45">MAX(B27:D27)*G27</f>
        <v>0</v>
      </c>
      <c r="I27" s="19">
        <f t="shared" ref="I27:I28" si="46">E27*G27</f>
        <v>0</v>
      </c>
      <c r="J27" s="19" t="str">
        <f t="shared" ref="J27:J28" si="47">IF((H27+I27=0),"-",(MAX(B27:D27)+E27)*G27)</f>
        <v>-</v>
      </c>
      <c r="L27" s="17">
        <f t="shared" ref="L27:L28" si="48">SUM(B27:D27)*0.23</f>
        <v>0</v>
      </c>
      <c r="M27" s="18"/>
      <c r="N27" s="18">
        <f t="shared" ref="N27:N28" si="49">E27*0.4*1.732</f>
        <v>0</v>
      </c>
      <c r="P27" s="19" t="str">
        <f t="shared" ref="P27:P28" si="50">IF(L27+N27=0,"-",L27+(E27*0.4*1.732))</f>
        <v>-</v>
      </c>
      <c r="S27" s="6"/>
      <c r="T27" s="6"/>
      <c r="U27" s="6"/>
      <c r="V27" s="6"/>
      <c r="W27" s="6"/>
      <c r="Y27" s="31"/>
      <c r="Z27" s="259">
        <v>0.8</v>
      </c>
      <c r="AB27" s="19">
        <f t="shared" ref="AB27:AB33" si="51">$T$26*Z27</f>
        <v>32.909999999999997</v>
      </c>
    </row>
    <row r="28" spans="1:28" ht="14.25" customHeight="1" x14ac:dyDescent="0.3">
      <c r="A28" s="6">
        <v>16</v>
      </c>
      <c r="B28" s="252"/>
      <c r="C28" s="253"/>
      <c r="D28" s="253"/>
      <c r="E28" s="254"/>
      <c r="G28" s="257">
        <v>1.25</v>
      </c>
      <c r="H28" s="18">
        <f t="shared" si="45"/>
        <v>0</v>
      </c>
      <c r="I28" s="19">
        <f t="shared" si="46"/>
        <v>0</v>
      </c>
      <c r="J28" s="19" t="str">
        <f t="shared" si="47"/>
        <v>-</v>
      </c>
      <c r="L28" s="17">
        <f t="shared" si="48"/>
        <v>0</v>
      </c>
      <c r="M28" s="18"/>
      <c r="N28" s="18">
        <f t="shared" si="49"/>
        <v>0</v>
      </c>
      <c r="P28" s="19" t="str">
        <f t="shared" si="50"/>
        <v>-</v>
      </c>
      <c r="S28" s="6"/>
      <c r="T28" s="6"/>
      <c r="U28" s="6"/>
      <c r="V28" s="6"/>
      <c r="W28" s="6"/>
      <c r="Y28" s="31"/>
      <c r="Z28" s="259">
        <v>0.7</v>
      </c>
      <c r="AB28" s="19">
        <f t="shared" si="51"/>
        <v>28.796249999999993</v>
      </c>
    </row>
    <row r="29" spans="1:28" ht="14.25" customHeight="1" x14ac:dyDescent="0.3">
      <c r="A29" s="6"/>
      <c r="B29" s="255"/>
      <c r="C29" s="256"/>
      <c r="D29" s="256"/>
      <c r="E29" s="254"/>
      <c r="G29" s="258"/>
      <c r="H29" s="22"/>
      <c r="I29" s="24"/>
      <c r="J29" s="24"/>
      <c r="L29" s="25"/>
      <c r="M29" s="26"/>
      <c r="N29" s="26"/>
      <c r="O29" s="27"/>
      <c r="P29" s="28"/>
      <c r="S29" s="6"/>
      <c r="T29" s="6"/>
      <c r="U29" s="6"/>
      <c r="V29" s="6"/>
      <c r="W29" s="6"/>
      <c r="Y29" s="31"/>
      <c r="Z29" s="259">
        <v>0.6</v>
      </c>
      <c r="AB29" s="19">
        <f t="shared" si="51"/>
        <v>24.682499999999997</v>
      </c>
    </row>
    <row r="30" spans="1:28" ht="14.25" customHeight="1" x14ac:dyDescent="0.3">
      <c r="A30" s="6">
        <v>17</v>
      </c>
      <c r="B30" s="252"/>
      <c r="C30" s="253"/>
      <c r="D30" s="253"/>
      <c r="E30" s="254"/>
      <c r="G30" s="257">
        <v>1.25</v>
      </c>
      <c r="H30" s="18">
        <f t="shared" ref="H30:H31" si="52">MAX(B30:D30)*G30</f>
        <v>0</v>
      </c>
      <c r="I30" s="19">
        <f t="shared" ref="I30:I31" si="53">E30*G30</f>
        <v>0</v>
      </c>
      <c r="J30" s="19" t="str">
        <f t="shared" ref="J30:J31" si="54">IF((H30+I30=0),"-",(MAX(B30:D30)+E30)*G30)</f>
        <v>-</v>
      </c>
      <c r="L30" s="17">
        <f t="shared" ref="L30:L31" si="55">SUM(B30:D30)*0.23</f>
        <v>0</v>
      </c>
      <c r="M30" s="18"/>
      <c r="N30" s="18">
        <f t="shared" ref="N30:N31" si="56">E30*0.4*1.732</f>
        <v>0</v>
      </c>
      <c r="P30" s="19" t="str">
        <f t="shared" ref="P30:P31" si="57">IF(L30+N30=0,"-",L30+(E30*0.4*1.732))</f>
        <v>-</v>
      </c>
      <c r="S30" s="6"/>
      <c r="T30" s="6"/>
      <c r="U30" s="6"/>
      <c r="V30" s="6"/>
      <c r="W30" s="6"/>
      <c r="Y30" s="31"/>
      <c r="Z30" s="259">
        <v>0.48</v>
      </c>
      <c r="AB30" s="19">
        <f t="shared" si="51"/>
        <v>19.745999999999999</v>
      </c>
    </row>
    <row r="31" spans="1:28" ht="14.25" customHeight="1" x14ac:dyDescent="0.3">
      <c r="A31" s="6">
        <v>18</v>
      </c>
      <c r="B31" s="252"/>
      <c r="C31" s="253"/>
      <c r="D31" s="253"/>
      <c r="E31" s="254"/>
      <c r="G31" s="257">
        <v>1.25</v>
      </c>
      <c r="H31" s="18">
        <f t="shared" si="52"/>
        <v>0</v>
      </c>
      <c r="I31" s="19">
        <f t="shared" si="53"/>
        <v>0</v>
      </c>
      <c r="J31" s="19" t="str">
        <f t="shared" si="54"/>
        <v>-</v>
      </c>
      <c r="L31" s="17">
        <f t="shared" si="55"/>
        <v>0</v>
      </c>
      <c r="M31" s="18"/>
      <c r="N31" s="18">
        <f t="shared" si="56"/>
        <v>0</v>
      </c>
      <c r="P31" s="19" t="str">
        <f t="shared" si="57"/>
        <v>-</v>
      </c>
      <c r="R31" s="30" t="s">
        <v>20</v>
      </c>
      <c r="S31" s="15"/>
      <c r="T31" s="15"/>
      <c r="U31" s="16"/>
      <c r="V31" s="6"/>
      <c r="W31" s="6"/>
      <c r="Y31" s="31"/>
      <c r="Z31" s="259">
        <v>3</v>
      </c>
      <c r="AB31" s="19">
        <f t="shared" si="51"/>
        <v>123.41249999999999</v>
      </c>
    </row>
    <row r="32" spans="1:28" ht="14.25" customHeight="1" x14ac:dyDescent="0.3">
      <c r="A32" s="6"/>
      <c r="B32" s="255"/>
      <c r="C32" s="256"/>
      <c r="D32" s="256"/>
      <c r="E32" s="254"/>
      <c r="G32" s="258"/>
      <c r="H32" s="22"/>
      <c r="I32" s="24"/>
      <c r="J32" s="24"/>
      <c r="L32" s="25"/>
      <c r="M32" s="26"/>
      <c r="N32" s="26"/>
      <c r="O32" s="27"/>
      <c r="P32" s="28"/>
      <c r="R32" s="31"/>
      <c r="S32" s="6" t="s">
        <v>21</v>
      </c>
      <c r="T32" s="6" t="s">
        <v>22</v>
      </c>
      <c r="U32" s="13" t="s">
        <v>23</v>
      </c>
      <c r="V32" s="6"/>
      <c r="W32" s="6"/>
      <c r="Y32" s="31"/>
      <c r="Z32" s="259">
        <v>0.25</v>
      </c>
      <c r="AB32" s="19">
        <f t="shared" si="51"/>
        <v>10.284374999999999</v>
      </c>
    </row>
    <row r="33" spans="1:28" ht="14.25" customHeight="1" x14ac:dyDescent="0.3">
      <c r="A33" s="6">
        <v>19</v>
      </c>
      <c r="B33" s="252"/>
      <c r="C33" s="253"/>
      <c r="D33" s="253"/>
      <c r="E33" s="254"/>
      <c r="G33" s="257">
        <v>1.25</v>
      </c>
      <c r="H33" s="18">
        <f t="shared" ref="H33:H34" si="58">MAX(B33:D33)*G33</f>
        <v>0</v>
      </c>
      <c r="I33" s="19">
        <f t="shared" ref="I33:I34" si="59">E33*G33</f>
        <v>0</v>
      </c>
      <c r="J33" s="19" t="str">
        <f t="shared" ref="J33:J34" si="60">IF((H33+I33=0),"-",(MAX(B33:D33)+E33)*G33)</f>
        <v>-</v>
      </c>
      <c r="L33" s="17">
        <f t="shared" ref="L33:L34" si="61">SUM(B33:D33)*0.23</f>
        <v>0</v>
      </c>
      <c r="M33" s="18"/>
      <c r="N33" s="18">
        <f t="shared" ref="N33:N34" si="62">E33*0.4*1.732</f>
        <v>0</v>
      </c>
      <c r="P33" s="19" t="str">
        <f t="shared" ref="P33:P34" si="63">IF(L33+N33=0,"-",L33+(E33*0.4*1.732))</f>
        <v>-</v>
      </c>
      <c r="R33" s="31"/>
      <c r="S33" s="6"/>
      <c r="T33" s="6"/>
      <c r="U33" s="13"/>
      <c r="V33" s="6"/>
      <c r="W33" s="6"/>
      <c r="Y33" s="31" t="s">
        <v>24</v>
      </c>
      <c r="Z33" s="259">
        <v>0.23</v>
      </c>
      <c r="AB33" s="19">
        <f t="shared" si="51"/>
        <v>9.4616249999999997</v>
      </c>
    </row>
    <row r="34" spans="1:28" ht="14.25" customHeight="1" x14ac:dyDescent="0.3">
      <c r="A34" s="6">
        <v>20</v>
      </c>
      <c r="B34" s="252"/>
      <c r="C34" s="253"/>
      <c r="D34" s="253"/>
      <c r="E34" s="254"/>
      <c r="G34" s="257">
        <v>1.25</v>
      </c>
      <c r="H34" s="18">
        <f t="shared" si="58"/>
        <v>0</v>
      </c>
      <c r="I34" s="19">
        <f t="shared" si="59"/>
        <v>0</v>
      </c>
      <c r="J34" s="19" t="str">
        <f t="shared" si="60"/>
        <v>-</v>
      </c>
      <c r="L34" s="17">
        <f t="shared" si="61"/>
        <v>0</v>
      </c>
      <c r="M34" s="18"/>
      <c r="N34" s="18">
        <f t="shared" si="62"/>
        <v>0</v>
      </c>
      <c r="P34" s="19" t="str">
        <f t="shared" si="63"/>
        <v>-</v>
      </c>
      <c r="R34" s="31" t="s">
        <v>25</v>
      </c>
      <c r="S34" s="259">
        <v>1.25</v>
      </c>
      <c r="T34" s="259"/>
      <c r="U34" s="13">
        <f t="shared" ref="U34:U38" si="64">T34*S34</f>
        <v>0</v>
      </c>
      <c r="V34" s="6"/>
      <c r="W34" s="6"/>
      <c r="Y34" s="31"/>
      <c r="Z34" s="6"/>
      <c r="AA34" s="6"/>
      <c r="AB34" s="13"/>
    </row>
    <row r="35" spans="1:28" ht="14.25" customHeight="1" x14ac:dyDescent="0.3">
      <c r="A35" s="6"/>
      <c r="B35" s="255"/>
      <c r="C35" s="256"/>
      <c r="D35" s="256"/>
      <c r="E35" s="254"/>
      <c r="G35" s="258"/>
      <c r="H35" s="22"/>
      <c r="I35" s="24"/>
      <c r="J35" s="24"/>
      <c r="L35" s="25"/>
      <c r="M35" s="26"/>
      <c r="N35" s="26"/>
      <c r="O35" s="27"/>
      <c r="P35" s="28"/>
      <c r="R35" s="31" t="s">
        <v>26</v>
      </c>
      <c r="S35" s="259">
        <v>2.25</v>
      </c>
      <c r="T35" s="259"/>
      <c r="U35" s="13">
        <f t="shared" si="64"/>
        <v>0</v>
      </c>
      <c r="V35" s="6"/>
      <c r="W35" s="6"/>
      <c r="Y35" s="38" t="s">
        <v>15</v>
      </c>
      <c r="Z35" s="259">
        <v>0.8</v>
      </c>
      <c r="AA35" s="259"/>
      <c r="AB35" s="13">
        <f t="shared" ref="AB35:AB40" si="65">AA35*Z35*1.25</f>
        <v>0</v>
      </c>
    </row>
    <row r="36" spans="1:28" ht="14.25" customHeight="1" x14ac:dyDescent="0.3">
      <c r="A36" s="6">
        <v>21</v>
      </c>
      <c r="B36" s="252"/>
      <c r="C36" s="253"/>
      <c r="D36" s="253"/>
      <c r="E36" s="254"/>
      <c r="G36" s="257">
        <v>1.25</v>
      </c>
      <c r="H36" s="18">
        <f t="shared" ref="H36:H37" si="66">MAX(B36:D36)*G36</f>
        <v>0</v>
      </c>
      <c r="I36" s="19">
        <f t="shared" ref="I36:I37" si="67">E36*G36</f>
        <v>0</v>
      </c>
      <c r="J36" s="19" t="str">
        <f t="shared" ref="J36:J37" si="68">IF((H36+I36=0),"-",(MAX(B36:D36)+E36)*G36)</f>
        <v>-</v>
      </c>
      <c r="L36" s="17">
        <f t="shared" ref="L36:L37" si="69">SUM(B36:D36)*0.23</f>
        <v>0</v>
      </c>
      <c r="M36" s="18"/>
      <c r="N36" s="18">
        <f t="shared" ref="N36:N37" si="70">E36*0.4*1.732</f>
        <v>0</v>
      </c>
      <c r="P36" s="19" t="str">
        <f t="shared" ref="P36:P37" si="71">IF(L36+N36=0,"-",L36+(E36*0.4*1.732))</f>
        <v>-</v>
      </c>
      <c r="R36" s="31" t="s">
        <v>27</v>
      </c>
      <c r="S36" s="259">
        <v>1.5</v>
      </c>
      <c r="T36" s="259"/>
      <c r="U36" s="13">
        <f t="shared" si="64"/>
        <v>0</v>
      </c>
      <c r="V36" s="6"/>
      <c r="W36" s="6"/>
      <c r="Y36" s="31"/>
      <c r="Z36" s="259">
        <v>0.7</v>
      </c>
      <c r="AA36" s="259"/>
      <c r="AB36" s="13">
        <f t="shared" si="65"/>
        <v>0</v>
      </c>
    </row>
    <row r="37" spans="1:28" ht="14.25" customHeight="1" x14ac:dyDescent="0.3">
      <c r="A37" s="6">
        <v>22</v>
      </c>
      <c r="B37" s="252"/>
      <c r="C37" s="253"/>
      <c r="D37" s="253"/>
      <c r="E37" s="254"/>
      <c r="G37" s="257">
        <v>1.25</v>
      </c>
      <c r="H37" s="18">
        <f t="shared" si="66"/>
        <v>0</v>
      </c>
      <c r="I37" s="19">
        <f t="shared" si="67"/>
        <v>0</v>
      </c>
      <c r="J37" s="19" t="str">
        <f t="shared" si="68"/>
        <v>-</v>
      </c>
      <c r="L37" s="17">
        <f t="shared" si="69"/>
        <v>0</v>
      </c>
      <c r="M37" s="18"/>
      <c r="N37" s="18">
        <f t="shared" si="70"/>
        <v>0</v>
      </c>
      <c r="P37" s="19" t="str">
        <f t="shared" si="71"/>
        <v>-</v>
      </c>
      <c r="R37" s="31" t="s">
        <v>28</v>
      </c>
      <c r="S37" s="259">
        <v>1.4</v>
      </c>
      <c r="T37" s="259"/>
      <c r="U37" s="13">
        <f t="shared" si="64"/>
        <v>0</v>
      </c>
      <c r="V37" s="6"/>
      <c r="W37" s="6"/>
      <c r="Y37" s="31"/>
      <c r="Z37" s="259">
        <v>0.6</v>
      </c>
      <c r="AA37" s="259"/>
      <c r="AB37" s="13">
        <f t="shared" si="65"/>
        <v>0</v>
      </c>
    </row>
    <row r="38" spans="1:28" ht="14.25" customHeight="1" x14ac:dyDescent="0.3">
      <c r="A38" s="6"/>
      <c r="B38" s="255"/>
      <c r="C38" s="256"/>
      <c r="D38" s="256"/>
      <c r="E38" s="254"/>
      <c r="G38" s="258"/>
      <c r="H38" s="22"/>
      <c r="I38" s="24"/>
      <c r="J38" s="24"/>
      <c r="L38" s="25"/>
      <c r="M38" s="26"/>
      <c r="N38" s="26"/>
      <c r="O38" s="27"/>
      <c r="P38" s="28"/>
      <c r="R38" s="39" t="s">
        <v>29</v>
      </c>
      <c r="S38" s="260">
        <v>2.5</v>
      </c>
      <c r="T38" s="260"/>
      <c r="U38" s="41">
        <f t="shared" si="64"/>
        <v>0</v>
      </c>
      <c r="V38" s="6"/>
      <c r="W38" s="6"/>
      <c r="Y38" s="31"/>
      <c r="Z38" s="259">
        <v>0.5</v>
      </c>
      <c r="AA38" s="259"/>
      <c r="AB38" s="13">
        <f t="shared" si="65"/>
        <v>0</v>
      </c>
    </row>
    <row r="39" spans="1:28" ht="14.25" customHeight="1" x14ac:dyDescent="0.3">
      <c r="A39" s="6">
        <v>23</v>
      </c>
      <c r="B39" s="252"/>
      <c r="C39" s="253"/>
      <c r="D39" s="253"/>
      <c r="E39" s="254"/>
      <c r="G39" s="257">
        <v>1.25</v>
      </c>
      <c r="H39" s="18">
        <f t="shared" ref="H39:H40" si="72">MAX(B39:D39)*G39</f>
        <v>0</v>
      </c>
      <c r="I39" s="19">
        <f t="shared" ref="I39:I40" si="73">E39*G39</f>
        <v>0</v>
      </c>
      <c r="J39" s="19" t="str">
        <f t="shared" ref="J39:J40" si="74">IF((H39+I39=0),"-",(MAX(B39:D39)+E39)*G39)</f>
        <v>-</v>
      </c>
      <c r="L39" s="17">
        <f t="shared" ref="L39:L40" si="75">SUM(B39:D39)*0.23</f>
        <v>0</v>
      </c>
      <c r="M39" s="18"/>
      <c r="N39" s="18">
        <f t="shared" ref="N39:N40" si="76">E39*0.4*1.732</f>
        <v>0</v>
      </c>
      <c r="P39" s="19" t="str">
        <f t="shared" ref="P39:P40" si="77">IF(L39+N39=0,"-",L39+(E39*0.4*1.732))</f>
        <v>-</v>
      </c>
      <c r="S39" s="6"/>
      <c r="T39" s="6"/>
      <c r="U39" s="6"/>
      <c r="V39" s="6"/>
      <c r="W39" s="6"/>
      <c r="Y39" s="31"/>
      <c r="Z39" s="259">
        <v>0.4</v>
      </c>
      <c r="AA39" s="259"/>
      <c r="AB39" s="13">
        <f t="shared" si="65"/>
        <v>0</v>
      </c>
    </row>
    <row r="40" spans="1:28" ht="14.25" customHeight="1" x14ac:dyDescent="0.3">
      <c r="A40" s="6">
        <v>24</v>
      </c>
      <c r="B40" s="252"/>
      <c r="C40" s="253"/>
      <c r="D40" s="253"/>
      <c r="E40" s="254"/>
      <c r="G40" s="257">
        <v>1.25</v>
      </c>
      <c r="H40" s="18">
        <f t="shared" si="72"/>
        <v>0</v>
      </c>
      <c r="I40" s="19">
        <f t="shared" si="73"/>
        <v>0</v>
      </c>
      <c r="J40" s="19" t="str">
        <f t="shared" si="74"/>
        <v>-</v>
      </c>
      <c r="L40" s="17">
        <f t="shared" si="75"/>
        <v>0</v>
      </c>
      <c r="M40" s="18"/>
      <c r="N40" s="18">
        <f t="shared" si="76"/>
        <v>0</v>
      </c>
      <c r="P40" s="19" t="str">
        <f t="shared" si="77"/>
        <v>-</v>
      </c>
      <c r="S40" s="6"/>
      <c r="T40" s="6"/>
      <c r="U40" s="6"/>
      <c r="V40" s="6"/>
      <c r="W40" s="6"/>
      <c r="Y40" s="39"/>
      <c r="Z40" s="260">
        <v>0.3</v>
      </c>
      <c r="AA40" s="260"/>
      <c r="AB40" s="41">
        <f t="shared" si="65"/>
        <v>0</v>
      </c>
    </row>
    <row r="41" spans="1:28" ht="14.25" customHeight="1" x14ac:dyDescent="0.3">
      <c r="A41" s="6"/>
      <c r="B41" s="255"/>
      <c r="C41" s="256"/>
      <c r="D41" s="256"/>
      <c r="E41" s="254"/>
      <c r="G41" s="258"/>
      <c r="H41" s="22"/>
      <c r="I41" s="24"/>
      <c r="J41" s="24"/>
      <c r="L41" s="25"/>
      <c r="M41" s="26"/>
      <c r="N41" s="26"/>
      <c r="O41" s="27"/>
      <c r="P41" s="28"/>
    </row>
    <row r="42" spans="1:28" ht="14.25" customHeight="1" x14ac:dyDescent="0.3">
      <c r="A42" s="6">
        <v>25</v>
      </c>
      <c r="B42" s="252"/>
      <c r="C42" s="253"/>
      <c r="D42" s="253"/>
      <c r="E42" s="254"/>
      <c r="G42" s="257">
        <v>1.25</v>
      </c>
      <c r="H42" s="18">
        <f t="shared" ref="H42:H43" si="78">MAX(B42:D42)*G42</f>
        <v>0</v>
      </c>
      <c r="I42" s="19">
        <f t="shared" ref="I42:I43" si="79">E42*G42</f>
        <v>0</v>
      </c>
      <c r="J42" s="19" t="str">
        <f t="shared" ref="J42:J43" si="80">IF((H42+I42=0),"-",(MAX(B42:D42)+E42)*G42)</f>
        <v>-</v>
      </c>
      <c r="L42" s="17">
        <f t="shared" ref="L42:L43" si="81">SUM(B42:D42)*0.23</f>
        <v>0</v>
      </c>
      <c r="M42" s="18"/>
      <c r="N42" s="18">
        <f t="shared" ref="N42:N43" si="82">E42*0.4*1.732</f>
        <v>0</v>
      </c>
      <c r="P42" s="19" t="str">
        <f t="shared" ref="P42:P43" si="83">IF(L42+N42=0,"-",L42+(E42*0.4*1.732))</f>
        <v>-</v>
      </c>
    </row>
    <row r="43" spans="1:28" ht="14.25" customHeight="1" x14ac:dyDescent="0.3">
      <c r="A43" s="6">
        <v>26</v>
      </c>
      <c r="B43" s="252"/>
      <c r="C43" s="253"/>
      <c r="D43" s="253"/>
      <c r="E43" s="254"/>
      <c r="G43" s="257">
        <v>1.25</v>
      </c>
      <c r="H43" s="18">
        <f t="shared" si="78"/>
        <v>0</v>
      </c>
      <c r="I43" s="19">
        <f t="shared" si="79"/>
        <v>0</v>
      </c>
      <c r="J43" s="19" t="str">
        <f t="shared" si="80"/>
        <v>-</v>
      </c>
      <c r="L43" s="17">
        <f t="shared" si="81"/>
        <v>0</v>
      </c>
      <c r="M43" s="18"/>
      <c r="N43" s="18">
        <f t="shared" si="82"/>
        <v>0</v>
      </c>
      <c r="P43" s="19" t="str">
        <f t="shared" si="83"/>
        <v>-</v>
      </c>
    </row>
    <row r="44" spans="1:28" ht="14.25" customHeight="1" x14ac:dyDescent="0.3">
      <c r="A44" s="6"/>
      <c r="B44" s="255"/>
      <c r="C44" s="256"/>
      <c r="D44" s="256"/>
      <c r="E44" s="254"/>
      <c r="G44" s="258"/>
      <c r="H44" s="22"/>
      <c r="I44" s="24"/>
      <c r="J44" s="24"/>
      <c r="L44" s="25"/>
      <c r="M44" s="26"/>
      <c r="N44" s="26"/>
      <c r="O44" s="27"/>
      <c r="P44" s="28"/>
    </row>
    <row r="45" spans="1:28" ht="14.25" customHeight="1" x14ac:dyDescent="0.3">
      <c r="A45" s="6">
        <v>27</v>
      </c>
      <c r="B45" s="252"/>
      <c r="C45" s="253"/>
      <c r="D45" s="253"/>
      <c r="E45" s="254"/>
      <c r="G45" s="257">
        <v>1.25</v>
      </c>
      <c r="H45" s="18">
        <f t="shared" ref="H45:H46" si="84">MAX(B45:D45)*G45</f>
        <v>0</v>
      </c>
      <c r="I45" s="19">
        <f t="shared" ref="I45:I46" si="85">E45*G45</f>
        <v>0</v>
      </c>
      <c r="J45" s="19" t="str">
        <f t="shared" ref="J45:J46" si="86">IF((H45+I45=0),"-",(MAX(B45:D45)+E45)*G45)</f>
        <v>-</v>
      </c>
      <c r="L45" s="17">
        <f t="shared" ref="L45:L46" si="87">SUM(B45:D45)*0.23</f>
        <v>0</v>
      </c>
      <c r="M45" s="18"/>
      <c r="N45" s="18">
        <f t="shared" ref="N45:N46" si="88">E45*0.4*1.732</f>
        <v>0</v>
      </c>
      <c r="P45" s="19" t="str">
        <f t="shared" ref="P45:P46" si="89">IF(L45+N45=0,"-",L45+(E45*0.4*1.732))</f>
        <v>-</v>
      </c>
    </row>
    <row r="46" spans="1:28" ht="14.25" customHeight="1" x14ac:dyDescent="0.3">
      <c r="A46" s="6">
        <v>28</v>
      </c>
      <c r="B46" s="252"/>
      <c r="C46" s="253"/>
      <c r="D46" s="253"/>
      <c r="E46" s="254"/>
      <c r="G46" s="257">
        <v>1.25</v>
      </c>
      <c r="H46" s="18">
        <f t="shared" si="84"/>
        <v>0</v>
      </c>
      <c r="I46" s="19">
        <f t="shared" si="85"/>
        <v>0</v>
      </c>
      <c r="J46" s="19" t="str">
        <f t="shared" si="86"/>
        <v>-</v>
      </c>
      <c r="L46" s="17">
        <f t="shared" si="87"/>
        <v>0</v>
      </c>
      <c r="M46" s="18"/>
      <c r="N46" s="18">
        <f t="shared" si="88"/>
        <v>0</v>
      </c>
      <c r="P46" s="19" t="str">
        <f t="shared" si="89"/>
        <v>-</v>
      </c>
    </row>
    <row r="47" spans="1:28" ht="14.25" customHeight="1" x14ac:dyDescent="0.3">
      <c r="A47" s="6"/>
      <c r="B47" s="255"/>
      <c r="C47" s="256"/>
      <c r="D47" s="256"/>
      <c r="E47" s="254"/>
      <c r="G47" s="258"/>
      <c r="H47" s="22"/>
      <c r="I47" s="24"/>
      <c r="J47" s="24"/>
      <c r="L47" s="25"/>
      <c r="M47" s="26"/>
      <c r="N47" s="26"/>
      <c r="O47" s="27"/>
      <c r="P47" s="28"/>
    </row>
    <row r="48" spans="1:28" ht="14.25" customHeight="1" x14ac:dyDescent="0.3">
      <c r="A48" s="6">
        <v>29</v>
      </c>
      <c r="B48" s="252"/>
      <c r="C48" s="253"/>
      <c r="D48" s="253"/>
      <c r="E48" s="254"/>
      <c r="G48" s="257">
        <v>1.25</v>
      </c>
      <c r="H48" s="18">
        <f t="shared" ref="H48:H49" si="90">MAX(B48:D48)*G48</f>
        <v>0</v>
      </c>
      <c r="I48" s="19">
        <f t="shared" ref="I48:I49" si="91">E48*G48</f>
        <v>0</v>
      </c>
      <c r="J48" s="19" t="str">
        <f t="shared" ref="J48:J49" si="92">IF((H48+I48=0),"-",(MAX(B48:D48)+E48)*G48)</f>
        <v>-</v>
      </c>
      <c r="L48" s="17">
        <f t="shared" ref="L48:L49" si="93">SUM(B48:D48)*0.23</f>
        <v>0</v>
      </c>
      <c r="M48" s="18"/>
      <c r="N48" s="18">
        <f t="shared" ref="N48:N49" si="94">E48*0.4*1.732</f>
        <v>0</v>
      </c>
      <c r="P48" s="19" t="str">
        <f t="shared" ref="P48:P49" si="95">IF(L48+N48=0,"-",L48+(E48*0.4*1.732))</f>
        <v>-</v>
      </c>
    </row>
    <row r="49" spans="1:28" ht="14.25" customHeight="1" x14ac:dyDescent="0.3">
      <c r="A49" s="6">
        <v>30</v>
      </c>
      <c r="B49" s="252"/>
      <c r="C49" s="253"/>
      <c r="D49" s="253"/>
      <c r="E49" s="254"/>
      <c r="G49" s="257">
        <v>1.25</v>
      </c>
      <c r="H49" s="18">
        <f t="shared" si="90"/>
        <v>0</v>
      </c>
      <c r="I49" s="19">
        <f t="shared" si="91"/>
        <v>0</v>
      </c>
      <c r="J49" s="19" t="str">
        <f t="shared" si="92"/>
        <v>-</v>
      </c>
      <c r="L49" s="17">
        <f t="shared" si="93"/>
        <v>0</v>
      </c>
      <c r="M49" s="18"/>
      <c r="N49" s="18">
        <f t="shared" si="94"/>
        <v>0</v>
      </c>
      <c r="P49" s="19" t="str">
        <f t="shared" si="95"/>
        <v>-</v>
      </c>
    </row>
    <row r="50" spans="1:28" ht="14.25" customHeight="1" x14ac:dyDescent="0.3">
      <c r="A50" s="6"/>
      <c r="B50" s="255"/>
      <c r="C50" s="256"/>
      <c r="D50" s="256"/>
      <c r="E50" s="254"/>
      <c r="G50" s="258"/>
      <c r="H50" s="22"/>
      <c r="I50" s="24"/>
      <c r="J50" s="24"/>
      <c r="L50" s="25"/>
      <c r="M50" s="26"/>
      <c r="N50" s="26"/>
      <c r="O50" s="27"/>
      <c r="P50" s="28"/>
    </row>
    <row r="51" spans="1:28" ht="14.25" customHeight="1" x14ac:dyDescent="0.3">
      <c r="A51" s="6"/>
      <c r="B51" s="252"/>
      <c r="C51" s="253"/>
      <c r="D51" s="253"/>
      <c r="E51" s="254"/>
      <c r="G51" s="257"/>
      <c r="H51" s="18"/>
      <c r="I51" s="19"/>
      <c r="J51" s="19"/>
      <c r="L51" s="12"/>
      <c r="M51" s="6"/>
      <c r="N51" s="6"/>
      <c r="P51" s="13"/>
    </row>
    <row r="52" spans="1:28" ht="14.25" customHeight="1" x14ac:dyDescent="0.3">
      <c r="A52" s="6"/>
      <c r="B52" s="252"/>
      <c r="C52" s="253"/>
      <c r="D52" s="253"/>
      <c r="E52" s="254"/>
      <c r="G52" s="257"/>
      <c r="H52" s="18"/>
      <c r="I52" s="19"/>
      <c r="J52" s="19"/>
      <c r="L52" s="12"/>
      <c r="N52" s="6"/>
      <c r="P52" s="13"/>
    </row>
    <row r="53" spans="1:28" ht="14.25" customHeight="1" x14ac:dyDescent="0.3">
      <c r="A53" s="6"/>
      <c r="B53" s="12"/>
      <c r="C53" s="6"/>
      <c r="D53" s="6"/>
      <c r="E53" s="13"/>
      <c r="G53" s="20"/>
      <c r="H53" s="18"/>
      <c r="I53" s="19"/>
      <c r="J53" s="19"/>
      <c r="L53" s="12"/>
      <c r="N53" s="6"/>
      <c r="P53" s="13"/>
    </row>
    <row r="54" spans="1:28" ht="14.25" customHeight="1" x14ac:dyDescent="0.3">
      <c r="A54" s="6"/>
      <c r="B54" s="42">
        <f t="shared" ref="B54:D54" si="96">SUM(B6:B52)</f>
        <v>0</v>
      </c>
      <c r="C54" s="43">
        <f t="shared" si="96"/>
        <v>32.909999999999997</v>
      </c>
      <c r="D54" s="43">
        <f t="shared" si="96"/>
        <v>0</v>
      </c>
      <c r="E54" s="44">
        <f>SUM(E5:E49)</f>
        <v>0</v>
      </c>
      <c r="G54" s="45">
        <v>1.25</v>
      </c>
      <c r="H54" s="43">
        <f>MAX(B54:D54)*G54</f>
        <v>41.137499999999996</v>
      </c>
      <c r="I54" s="44">
        <f>E54*G54</f>
        <v>0</v>
      </c>
      <c r="J54" s="44">
        <f>(MAX(B54:D54)+E54)*G54</f>
        <v>41.137499999999996</v>
      </c>
      <c r="L54" s="42">
        <f>SUM(L5:L50)</f>
        <v>7.5692999999999993</v>
      </c>
      <c r="M54" s="43"/>
      <c r="N54" s="43">
        <f>SUM(N5:N50)</f>
        <v>0</v>
      </c>
      <c r="O54" s="43"/>
      <c r="P54" s="44">
        <f>SUM(P5:P50)</f>
        <v>7.5692999999999993</v>
      </c>
    </row>
    <row r="55" spans="1:28" ht="14.25" customHeight="1" x14ac:dyDescent="0.3"/>
    <row r="56" spans="1:28" ht="14.25" customHeight="1" x14ac:dyDescent="0.3"/>
    <row r="57" spans="1:28" ht="14.25" customHeight="1" x14ac:dyDescent="0.3"/>
    <row r="58" spans="1:28" ht="14.25" customHeight="1" x14ac:dyDescent="0.3">
      <c r="B58" s="344" t="s">
        <v>30</v>
      </c>
      <c r="C58" s="345"/>
      <c r="D58" s="345"/>
      <c r="E58" s="346"/>
      <c r="F58" s="46"/>
      <c r="G58" s="46"/>
      <c r="H58" s="46"/>
      <c r="I58" s="46"/>
      <c r="J58" s="46"/>
      <c r="K58" s="46"/>
      <c r="L58" s="46"/>
    </row>
    <row r="59" spans="1:28" ht="14.25" customHeight="1" x14ac:dyDescent="0.3">
      <c r="P59" s="6"/>
      <c r="Q59" s="6"/>
      <c r="R59" s="6"/>
      <c r="S59" s="6"/>
      <c r="T59" s="6"/>
      <c r="X59" s="6"/>
      <c r="Y59" s="6"/>
      <c r="Z59" s="6"/>
    </row>
    <row r="60" spans="1:28" ht="14.25" customHeight="1" x14ac:dyDescent="0.3">
      <c r="B60" s="349" t="s">
        <v>4</v>
      </c>
      <c r="C60" s="345"/>
      <c r="D60" s="345"/>
      <c r="E60" s="346"/>
      <c r="G60" s="349" t="s">
        <v>1</v>
      </c>
      <c r="H60" s="345"/>
      <c r="I60" s="345"/>
      <c r="J60" s="346"/>
      <c r="L60" s="354" t="s">
        <v>2</v>
      </c>
      <c r="M60" s="349" t="s">
        <v>3</v>
      </c>
      <c r="N60" s="345"/>
      <c r="O60" s="346"/>
      <c r="P60" s="6"/>
      <c r="Q60" s="6"/>
      <c r="R60" s="6"/>
      <c r="S60" s="6"/>
      <c r="T60" s="6"/>
      <c r="X60" s="6"/>
      <c r="Y60" s="6"/>
      <c r="Z60" s="6"/>
    </row>
    <row r="61" spans="1:28" ht="14.25" customHeight="1" x14ac:dyDescent="0.3">
      <c r="B61" s="33" t="s">
        <v>9</v>
      </c>
      <c r="C61" s="47" t="s">
        <v>8</v>
      </c>
      <c r="D61" s="352" t="s">
        <v>10</v>
      </c>
      <c r="E61" s="353"/>
      <c r="G61" s="7" t="s">
        <v>5</v>
      </c>
      <c r="H61" s="8" t="s">
        <v>6</v>
      </c>
      <c r="I61" s="8" t="s">
        <v>7</v>
      </c>
      <c r="J61" s="9" t="s">
        <v>8</v>
      </c>
      <c r="L61" s="355"/>
      <c r="M61" s="11" t="s">
        <v>9</v>
      </c>
      <c r="N61" s="11" t="s">
        <v>8</v>
      </c>
      <c r="O61" s="11" t="s">
        <v>10</v>
      </c>
      <c r="P61" s="6"/>
      <c r="Q61" s="6"/>
      <c r="R61" s="6"/>
      <c r="S61" s="6"/>
      <c r="T61" s="6"/>
      <c r="X61" s="6"/>
      <c r="Y61" s="6"/>
      <c r="Z61" s="6"/>
    </row>
    <row r="62" spans="1:28" ht="14.25" customHeight="1" x14ac:dyDescent="0.3">
      <c r="B62" s="12"/>
      <c r="C62" s="6"/>
      <c r="D62" s="350"/>
      <c r="E62" s="351"/>
      <c r="G62" s="12"/>
      <c r="H62" s="6"/>
      <c r="I62" s="6"/>
      <c r="J62" s="13"/>
      <c r="L62" s="14"/>
      <c r="M62" s="15"/>
      <c r="N62" s="16"/>
      <c r="O62" s="16"/>
      <c r="P62" s="6"/>
      <c r="Q62" s="6"/>
      <c r="R62" s="6"/>
      <c r="S62" s="6"/>
      <c r="T62" s="6"/>
      <c r="X62" s="6"/>
      <c r="Y62" s="6"/>
      <c r="Z62" s="6"/>
    </row>
    <row r="63" spans="1:28" ht="14.25" customHeight="1" x14ac:dyDescent="0.3">
      <c r="A63" s="6">
        <v>1</v>
      </c>
      <c r="B63" s="261"/>
      <c r="C63" s="259">
        <v>300</v>
      </c>
      <c r="D63" s="350">
        <f t="shared" ref="D63:D64" si="97">IF(B63+C63=0,"-",B63+C63)</f>
        <v>300</v>
      </c>
      <c r="E63" s="351"/>
      <c r="G63" s="17">
        <f t="shared" ref="G63:G64" si="98">B63/0.23</f>
        <v>0</v>
      </c>
      <c r="H63" s="18"/>
      <c r="I63" s="18"/>
      <c r="J63" s="19">
        <f t="shared" ref="J63:J64" si="99">C63/(0.4*1.732)</f>
        <v>433.02540415704385</v>
      </c>
      <c r="L63" s="257">
        <v>1.25</v>
      </c>
      <c r="M63" s="18">
        <f t="shared" ref="M63:M64" si="100">G63*L63</f>
        <v>0</v>
      </c>
      <c r="N63" s="19">
        <f t="shared" ref="N63:N64" si="101">J63*L63</f>
        <v>541.28175519630486</v>
      </c>
      <c r="O63" s="19">
        <f t="shared" ref="O63:O64" si="102">IF((M63+N63=0),"-",(M63+N63))</f>
        <v>541.28175519630486</v>
      </c>
      <c r="P63" s="6"/>
      <c r="Q63" s="6"/>
      <c r="R63" s="6"/>
      <c r="S63" s="6"/>
      <c r="T63" s="6"/>
      <c r="X63" s="6"/>
      <c r="Y63" s="6"/>
      <c r="Z63" s="6"/>
    </row>
    <row r="64" spans="1:28" ht="14.25" customHeight="1" x14ac:dyDescent="0.3">
      <c r="A64" s="6">
        <v>2</v>
      </c>
      <c r="B64" s="261"/>
      <c r="C64" s="259"/>
      <c r="D64" s="350" t="str">
        <f t="shared" si="97"/>
        <v>-</v>
      </c>
      <c r="E64" s="351"/>
      <c r="G64" s="17">
        <f t="shared" si="98"/>
        <v>0</v>
      </c>
      <c r="H64" s="18"/>
      <c r="I64" s="18"/>
      <c r="J64" s="19">
        <f t="shared" si="99"/>
        <v>0</v>
      </c>
      <c r="L64" s="257">
        <v>1.25</v>
      </c>
      <c r="M64" s="18">
        <f t="shared" si="100"/>
        <v>0</v>
      </c>
      <c r="N64" s="19">
        <f t="shared" si="101"/>
        <v>0</v>
      </c>
      <c r="O64" s="19" t="str">
        <f t="shared" si="102"/>
        <v>-</v>
      </c>
      <c r="R64" s="29"/>
      <c r="S64" s="8" t="s">
        <v>9</v>
      </c>
      <c r="T64" s="8"/>
      <c r="U64" s="8"/>
      <c r="V64" s="8"/>
      <c r="W64" s="9" t="s">
        <v>8</v>
      </c>
      <c r="Y64" s="30" t="s">
        <v>11</v>
      </c>
      <c r="Z64" s="15"/>
      <c r="AA64" s="15"/>
      <c r="AB64" s="16"/>
    </row>
    <row r="65" spans="1:28" ht="14.25" customHeight="1" x14ac:dyDescent="0.3">
      <c r="A65" s="6"/>
      <c r="B65" s="262"/>
      <c r="C65" s="263"/>
      <c r="D65" s="356"/>
      <c r="E65" s="357"/>
      <c r="G65" s="21"/>
      <c r="H65" s="22"/>
      <c r="I65" s="22"/>
      <c r="J65" s="24"/>
      <c r="L65" s="258"/>
      <c r="M65" s="22"/>
      <c r="N65" s="24"/>
      <c r="O65" s="24"/>
      <c r="R65" s="31"/>
      <c r="S65" s="32"/>
      <c r="T65" s="15"/>
      <c r="U65" s="15"/>
      <c r="V65" s="15"/>
      <c r="W65" s="16"/>
      <c r="Y65" s="31"/>
      <c r="Z65" s="259">
        <v>0.8</v>
      </c>
      <c r="AB65" s="19">
        <f t="shared" ref="AB65:AB70" si="103">$S$70*Z65</f>
        <v>240</v>
      </c>
    </row>
    <row r="66" spans="1:28" ht="14.25" customHeight="1" x14ac:dyDescent="0.3">
      <c r="A66" s="6">
        <v>3</v>
      </c>
      <c r="B66" s="261"/>
      <c r="C66" s="259"/>
      <c r="D66" s="350" t="str">
        <f t="shared" ref="D66:D67" si="104">IF(B66+C66=0,"-",B66+C66)</f>
        <v>-</v>
      </c>
      <c r="E66" s="351"/>
      <c r="G66" s="17"/>
      <c r="H66" s="18">
        <f t="shared" ref="H66:H67" si="105">B66/0.23</f>
        <v>0</v>
      </c>
      <c r="I66" s="18"/>
      <c r="J66" s="19">
        <f t="shared" ref="J66:J67" si="106">C66/(0.4*1.732)</f>
        <v>0</v>
      </c>
      <c r="L66" s="257">
        <v>1.25</v>
      </c>
      <c r="M66" s="18">
        <f t="shared" ref="M66:M67" si="107">H66*L66</f>
        <v>0</v>
      </c>
      <c r="N66" s="19">
        <f t="shared" ref="N66:N67" si="108">J66*L66</f>
        <v>0</v>
      </c>
      <c r="O66" s="19" t="str">
        <f t="shared" ref="O66:O67" si="109">IF((M66+N66=0),"-",(M66+N66))</f>
        <v>-</v>
      </c>
      <c r="R66" s="33" t="s">
        <v>12</v>
      </c>
      <c r="S66" s="17">
        <f t="shared" ref="S66:U66" si="110">G111*0.23</f>
        <v>0</v>
      </c>
      <c r="T66" s="18">
        <f t="shared" si="110"/>
        <v>0</v>
      </c>
      <c r="U66" s="18">
        <f t="shared" si="110"/>
        <v>0</v>
      </c>
      <c r="V66" s="18"/>
      <c r="W66" s="19">
        <f>J111*0.4*1.732</f>
        <v>300</v>
      </c>
      <c r="Y66" s="31"/>
      <c r="Z66" s="259">
        <v>0.7</v>
      </c>
      <c r="AB66" s="19">
        <f t="shared" si="103"/>
        <v>210</v>
      </c>
    </row>
    <row r="67" spans="1:28" ht="14.25" customHeight="1" x14ac:dyDescent="0.3">
      <c r="A67" s="6">
        <v>4</v>
      </c>
      <c r="B67" s="261"/>
      <c r="C67" s="259"/>
      <c r="D67" s="350" t="str">
        <f t="shared" si="104"/>
        <v>-</v>
      </c>
      <c r="E67" s="351"/>
      <c r="G67" s="17"/>
      <c r="H67" s="18">
        <f t="shared" si="105"/>
        <v>0</v>
      </c>
      <c r="I67" s="18"/>
      <c r="J67" s="19">
        <f t="shared" si="106"/>
        <v>0</v>
      </c>
      <c r="L67" s="257">
        <v>1.25</v>
      </c>
      <c r="M67" s="18">
        <f t="shared" si="107"/>
        <v>0</v>
      </c>
      <c r="N67" s="19">
        <f t="shared" si="108"/>
        <v>0</v>
      </c>
      <c r="O67" s="19" t="str">
        <f t="shared" si="109"/>
        <v>-</v>
      </c>
      <c r="R67" s="12"/>
      <c r="S67" s="12"/>
      <c r="T67" s="6"/>
      <c r="U67" s="6"/>
      <c r="V67" s="6"/>
      <c r="W67" s="13"/>
      <c r="Y67" s="31"/>
      <c r="Z67" s="259">
        <v>0.6</v>
      </c>
      <c r="AB67" s="19">
        <f t="shared" si="103"/>
        <v>180</v>
      </c>
    </row>
    <row r="68" spans="1:28" ht="14.25" customHeight="1" x14ac:dyDescent="0.3">
      <c r="A68" s="6"/>
      <c r="B68" s="262"/>
      <c r="C68" s="263"/>
      <c r="D68" s="356"/>
      <c r="E68" s="357"/>
      <c r="G68" s="21"/>
      <c r="H68" s="22"/>
      <c r="I68" s="22"/>
      <c r="J68" s="24"/>
      <c r="L68" s="258"/>
      <c r="M68" s="22"/>
      <c r="N68" s="24"/>
      <c r="O68" s="24"/>
      <c r="R68" s="33" t="s">
        <v>13</v>
      </c>
      <c r="S68" s="17">
        <f>SUM(S66:U66)</f>
        <v>0</v>
      </c>
      <c r="T68" s="18"/>
      <c r="U68" s="18"/>
      <c r="V68" s="6"/>
      <c r="W68" s="19">
        <f>W66</f>
        <v>300</v>
      </c>
      <c r="Y68" s="31"/>
      <c r="Z68" s="259">
        <v>0.5</v>
      </c>
      <c r="AB68" s="19">
        <f t="shared" si="103"/>
        <v>150</v>
      </c>
    </row>
    <row r="69" spans="1:28" ht="14.25" customHeight="1" x14ac:dyDescent="0.3">
      <c r="A69" s="6">
        <v>5</v>
      </c>
      <c r="B69" s="261"/>
      <c r="C69" s="259"/>
      <c r="D69" s="350" t="str">
        <f t="shared" ref="D69:D70" si="111">IF(B69+C69=0,"-",B69+C69)</f>
        <v>-</v>
      </c>
      <c r="E69" s="351"/>
      <c r="G69" s="48"/>
      <c r="H69" s="18"/>
      <c r="I69" s="18">
        <f t="shared" ref="I69:I70" si="112">B69/0.23</f>
        <v>0</v>
      </c>
      <c r="J69" s="19">
        <f t="shared" ref="J69:J70" si="113">C69/(0.4*1.732)</f>
        <v>0</v>
      </c>
      <c r="L69" s="257">
        <v>1.25</v>
      </c>
      <c r="M69" s="18">
        <f t="shared" ref="M69:M70" si="114">I69*L69</f>
        <v>0</v>
      </c>
      <c r="N69" s="19">
        <f t="shared" ref="N69:N70" si="115">J69*L69</f>
        <v>0</v>
      </c>
      <c r="O69" s="19" t="str">
        <f t="shared" ref="O69:O70" si="116">IF((M69+N69=0),"-",(M69+N69))</f>
        <v>-</v>
      </c>
      <c r="R69" s="12"/>
      <c r="S69" s="12"/>
      <c r="T69" s="6"/>
      <c r="U69" s="6"/>
      <c r="V69" s="6"/>
      <c r="W69" s="13"/>
      <c r="Y69" s="31"/>
      <c r="Z69" s="259">
        <v>0.4</v>
      </c>
      <c r="AB69" s="19">
        <f t="shared" si="103"/>
        <v>120</v>
      </c>
    </row>
    <row r="70" spans="1:28" ht="14.25" customHeight="1" x14ac:dyDescent="0.3">
      <c r="A70" s="6">
        <v>6</v>
      </c>
      <c r="B70" s="261"/>
      <c r="C70" s="259"/>
      <c r="D70" s="350" t="str">
        <f t="shared" si="111"/>
        <v>-</v>
      </c>
      <c r="E70" s="351"/>
      <c r="G70" s="17"/>
      <c r="H70" s="18"/>
      <c r="I70" s="18">
        <f t="shared" si="112"/>
        <v>0</v>
      </c>
      <c r="J70" s="19">
        <f t="shared" si="113"/>
        <v>0</v>
      </c>
      <c r="L70" s="257">
        <v>1.25</v>
      </c>
      <c r="M70" s="18">
        <f t="shared" si="114"/>
        <v>0</v>
      </c>
      <c r="N70" s="19">
        <f t="shared" si="115"/>
        <v>0</v>
      </c>
      <c r="O70" s="19" t="str">
        <f t="shared" si="116"/>
        <v>-</v>
      </c>
      <c r="R70" s="34" t="s">
        <v>14</v>
      </c>
      <c r="S70" s="49">
        <f>SUM(S66:U66) +W66</f>
        <v>300</v>
      </c>
      <c r="T70" s="36"/>
      <c r="U70" s="36"/>
      <c r="V70" s="36"/>
      <c r="W70" s="37"/>
      <c r="Y70" s="31"/>
      <c r="Z70" s="259">
        <v>0.38</v>
      </c>
      <c r="AB70" s="19">
        <f t="shared" si="103"/>
        <v>114</v>
      </c>
    </row>
    <row r="71" spans="1:28" ht="14.25" customHeight="1" x14ac:dyDescent="0.3">
      <c r="A71" s="6"/>
      <c r="B71" s="262"/>
      <c r="C71" s="263"/>
      <c r="D71" s="356"/>
      <c r="E71" s="357"/>
      <c r="G71" s="21"/>
      <c r="H71" s="22"/>
      <c r="I71" s="22"/>
      <c r="J71" s="24"/>
      <c r="L71" s="258"/>
      <c r="M71" s="22"/>
      <c r="N71" s="24"/>
      <c r="O71" s="24"/>
      <c r="S71" s="6"/>
      <c r="T71" s="6"/>
      <c r="U71" s="6"/>
      <c r="V71" s="6"/>
      <c r="W71" s="6"/>
      <c r="Y71" s="31"/>
      <c r="Z71" s="6"/>
      <c r="AA71" s="6"/>
      <c r="AB71" s="13"/>
    </row>
    <row r="72" spans="1:28" ht="14.25" customHeight="1" x14ac:dyDescent="0.3">
      <c r="A72" s="6">
        <v>7</v>
      </c>
      <c r="B72" s="261"/>
      <c r="C72" s="259"/>
      <c r="D72" s="350" t="str">
        <f t="shared" ref="D72:D73" si="117">IF(B72+C72=0,"-",B72+C72)</f>
        <v>-</v>
      </c>
      <c r="E72" s="351"/>
      <c r="G72" s="17">
        <f t="shared" ref="G72:G73" si="118">B72/0.23</f>
        <v>0</v>
      </c>
      <c r="H72" s="18"/>
      <c r="I72" s="18"/>
      <c r="J72" s="19">
        <f t="shared" ref="J72:J73" si="119">C72/(0.4*1.732)</f>
        <v>0</v>
      </c>
      <c r="L72" s="257">
        <v>1.25</v>
      </c>
      <c r="M72" s="18">
        <f t="shared" ref="M72:M73" si="120">G72*L72</f>
        <v>0</v>
      </c>
      <c r="N72" s="19">
        <f t="shared" ref="N72:N73" si="121">J72*L72</f>
        <v>0</v>
      </c>
      <c r="O72" s="19" t="str">
        <f t="shared" ref="O72:O73" si="122">IF((M72+N72=0),"-",(M72+N72))</f>
        <v>-</v>
      </c>
      <c r="S72" s="6"/>
      <c r="T72" s="6"/>
      <c r="U72" s="6"/>
      <c r="V72" s="6"/>
      <c r="W72" s="6"/>
      <c r="Y72" s="31"/>
      <c r="Z72" s="6"/>
      <c r="AA72" s="6"/>
      <c r="AB72" s="13"/>
    </row>
    <row r="73" spans="1:28" ht="14.25" customHeight="1" x14ac:dyDescent="0.3">
      <c r="A73" s="6">
        <v>8</v>
      </c>
      <c r="B73" s="261"/>
      <c r="C73" s="259"/>
      <c r="D73" s="350" t="str">
        <f t="shared" si="117"/>
        <v>-</v>
      </c>
      <c r="E73" s="351"/>
      <c r="G73" s="17">
        <f t="shared" si="118"/>
        <v>0</v>
      </c>
      <c r="H73" s="18"/>
      <c r="I73" s="18"/>
      <c r="J73" s="19">
        <f t="shared" si="119"/>
        <v>0</v>
      </c>
      <c r="L73" s="257">
        <v>1.25</v>
      </c>
      <c r="M73" s="18">
        <f t="shared" si="120"/>
        <v>0</v>
      </c>
      <c r="N73" s="19">
        <f t="shared" si="121"/>
        <v>0</v>
      </c>
      <c r="O73" s="19" t="str">
        <f t="shared" si="122"/>
        <v>-</v>
      </c>
      <c r="S73" s="6"/>
      <c r="T73" s="6"/>
      <c r="U73" s="6"/>
      <c r="V73" s="6"/>
      <c r="W73" s="6"/>
      <c r="Y73" s="38" t="s">
        <v>15</v>
      </c>
      <c r="Z73" s="259">
        <v>0.8</v>
      </c>
      <c r="AA73" s="259"/>
      <c r="AB73" s="13">
        <f t="shared" ref="AB73:AB78" si="123">AA73*Z73</f>
        <v>0</v>
      </c>
    </row>
    <row r="74" spans="1:28" ht="14.25" customHeight="1" x14ac:dyDescent="0.3">
      <c r="A74" s="6"/>
      <c r="B74" s="262"/>
      <c r="C74" s="263"/>
      <c r="D74" s="356"/>
      <c r="E74" s="357"/>
      <c r="G74" s="21"/>
      <c r="H74" s="22"/>
      <c r="I74" s="22"/>
      <c r="J74" s="24"/>
      <c r="L74" s="258"/>
      <c r="M74" s="22"/>
      <c r="N74" s="24"/>
      <c r="O74" s="24"/>
      <c r="S74" s="6"/>
      <c r="T74" s="6"/>
      <c r="U74" s="6"/>
      <c r="V74" s="6"/>
      <c r="W74" s="6"/>
      <c r="Y74" s="31"/>
      <c r="Z74" s="259">
        <v>0.7</v>
      </c>
      <c r="AA74" s="259"/>
      <c r="AB74" s="13">
        <f t="shared" si="123"/>
        <v>0</v>
      </c>
    </row>
    <row r="75" spans="1:28" ht="14.25" customHeight="1" x14ac:dyDescent="0.3">
      <c r="A75" s="6">
        <v>9</v>
      </c>
      <c r="B75" s="261"/>
      <c r="C75" s="259"/>
      <c r="D75" s="350" t="str">
        <f t="shared" ref="D75:D76" si="124">IF(B75+C75=0,"-",B75+C75)</f>
        <v>-</v>
      </c>
      <c r="E75" s="351"/>
      <c r="G75" s="17"/>
      <c r="H75" s="18">
        <f t="shared" ref="H75:H76" si="125">B75/0.23</f>
        <v>0</v>
      </c>
      <c r="I75" s="18"/>
      <c r="J75" s="19">
        <f t="shared" ref="J75:J76" si="126">C75/(0.4*1.732)</f>
        <v>0</v>
      </c>
      <c r="L75" s="257">
        <v>1.25</v>
      </c>
      <c r="M75" s="18">
        <f t="shared" ref="M75:M76" si="127">H75*L75</f>
        <v>0</v>
      </c>
      <c r="N75" s="19">
        <f t="shared" ref="N75:N76" si="128">J75*L75</f>
        <v>0</v>
      </c>
      <c r="O75" s="19" t="str">
        <f t="shared" ref="O75:O76" si="129">IF((M75+N75=0),"-",(M75+N75))</f>
        <v>-</v>
      </c>
      <c r="R75" s="30" t="s">
        <v>16</v>
      </c>
      <c r="S75" s="15"/>
      <c r="T75" s="15"/>
      <c r="U75" s="16"/>
      <c r="V75" s="6"/>
      <c r="W75" s="6"/>
      <c r="Y75" s="31"/>
      <c r="Z75" s="259">
        <v>0.6</v>
      </c>
      <c r="AA75" s="259"/>
      <c r="AB75" s="13">
        <f t="shared" si="123"/>
        <v>0</v>
      </c>
    </row>
    <row r="76" spans="1:28" ht="14.25" customHeight="1" x14ac:dyDescent="0.3">
      <c r="A76" s="6">
        <v>10</v>
      </c>
      <c r="B76" s="261"/>
      <c r="C76" s="259"/>
      <c r="D76" s="350" t="str">
        <f t="shared" si="124"/>
        <v>-</v>
      </c>
      <c r="E76" s="351"/>
      <c r="G76" s="17"/>
      <c r="H76" s="18">
        <f t="shared" si="125"/>
        <v>0</v>
      </c>
      <c r="I76" s="18"/>
      <c r="J76" s="19">
        <f t="shared" si="126"/>
        <v>0</v>
      </c>
      <c r="L76" s="257">
        <v>1.25</v>
      </c>
      <c r="M76" s="18">
        <f t="shared" si="127"/>
        <v>0</v>
      </c>
      <c r="N76" s="19">
        <f t="shared" si="128"/>
        <v>0</v>
      </c>
      <c r="O76" s="19" t="str">
        <f t="shared" si="129"/>
        <v>-</v>
      </c>
      <c r="R76" s="31"/>
      <c r="S76" s="6"/>
      <c r="T76" s="6" t="s">
        <v>9</v>
      </c>
      <c r="U76" s="13" t="s">
        <v>8</v>
      </c>
      <c r="V76" s="6"/>
      <c r="W76" s="6"/>
      <c r="Y76" s="31"/>
      <c r="Z76" s="259">
        <v>0.5</v>
      </c>
      <c r="AA76" s="259"/>
      <c r="AB76" s="13">
        <f t="shared" si="123"/>
        <v>0</v>
      </c>
    </row>
    <row r="77" spans="1:28" ht="14.25" customHeight="1" x14ac:dyDescent="0.3">
      <c r="A77" s="6"/>
      <c r="B77" s="262"/>
      <c r="C77" s="263"/>
      <c r="D77" s="356"/>
      <c r="E77" s="357"/>
      <c r="G77" s="21"/>
      <c r="H77" s="22"/>
      <c r="I77" s="22"/>
      <c r="J77" s="24"/>
      <c r="L77" s="258"/>
      <c r="M77" s="22"/>
      <c r="N77" s="24"/>
      <c r="O77" s="24"/>
      <c r="R77" s="31"/>
      <c r="S77" s="6"/>
      <c r="T77" s="6"/>
      <c r="U77" s="13"/>
      <c r="V77" s="6"/>
      <c r="W77" s="6"/>
      <c r="Y77" s="31"/>
      <c r="Z77" s="259">
        <v>0.4</v>
      </c>
      <c r="AA77" s="259"/>
      <c r="AB77" s="13">
        <f t="shared" si="123"/>
        <v>0</v>
      </c>
    </row>
    <row r="78" spans="1:28" ht="14.25" customHeight="1" x14ac:dyDescent="0.3">
      <c r="A78" s="6">
        <v>11</v>
      </c>
      <c r="B78" s="261"/>
      <c r="C78" s="259"/>
      <c r="D78" s="350" t="str">
        <f t="shared" ref="D78:D79" si="130">IF(B78+C78=0,"-",B78+C78)</f>
        <v>-</v>
      </c>
      <c r="E78" s="351"/>
      <c r="G78" s="48"/>
      <c r="H78" s="18"/>
      <c r="I78" s="18">
        <f t="shared" ref="I78:I79" si="131">B78/0.23</f>
        <v>0</v>
      </c>
      <c r="J78" s="19">
        <f t="shared" ref="J78:J79" si="132">C78/(0.4*1.732)</f>
        <v>0</v>
      </c>
      <c r="L78" s="257">
        <v>1.25</v>
      </c>
      <c r="M78" s="18">
        <f t="shared" ref="M78:M79" si="133">I78*L78</f>
        <v>0</v>
      </c>
      <c r="N78" s="19">
        <f t="shared" ref="N78:N79" si="134">J78*L78</f>
        <v>0</v>
      </c>
      <c r="O78" s="19" t="str">
        <f t="shared" ref="O78:O79" si="135">IF((M78+N78=0),"-",(M78+N78))</f>
        <v>-</v>
      </c>
      <c r="R78" s="31" t="s">
        <v>1</v>
      </c>
      <c r="S78" s="6"/>
      <c r="T78" s="18">
        <f>MAX(G111:I111)</f>
        <v>0</v>
      </c>
      <c r="U78" s="19">
        <f>J111</f>
        <v>433.02540415704385</v>
      </c>
      <c r="V78" s="6"/>
      <c r="W78" s="6"/>
      <c r="Y78" s="39"/>
      <c r="Z78" s="260">
        <v>0.3</v>
      </c>
      <c r="AA78" s="260"/>
      <c r="AB78" s="41">
        <f t="shared" si="123"/>
        <v>0</v>
      </c>
    </row>
    <row r="79" spans="1:28" ht="14.25" customHeight="1" x14ac:dyDescent="0.3">
      <c r="A79" s="6">
        <v>12</v>
      </c>
      <c r="B79" s="261"/>
      <c r="C79" s="259"/>
      <c r="D79" s="350" t="str">
        <f t="shared" si="130"/>
        <v>-</v>
      </c>
      <c r="E79" s="351"/>
      <c r="G79" s="17"/>
      <c r="H79" s="18"/>
      <c r="I79" s="18">
        <f t="shared" si="131"/>
        <v>0</v>
      </c>
      <c r="J79" s="19">
        <f t="shared" si="132"/>
        <v>0</v>
      </c>
      <c r="L79" s="257">
        <v>1.25</v>
      </c>
      <c r="M79" s="18">
        <f t="shared" si="133"/>
        <v>0</v>
      </c>
      <c r="N79" s="19">
        <f t="shared" si="134"/>
        <v>0</v>
      </c>
      <c r="O79" s="19" t="str">
        <f t="shared" si="135"/>
        <v>-</v>
      </c>
      <c r="R79" s="31"/>
      <c r="S79" s="6"/>
      <c r="T79" s="6"/>
      <c r="U79" s="13"/>
      <c r="V79" s="6"/>
      <c r="W79" s="6"/>
      <c r="Z79" s="6"/>
      <c r="AA79" s="6"/>
      <c r="AB79" s="6"/>
    </row>
    <row r="80" spans="1:28" ht="14.25" customHeight="1" x14ac:dyDescent="0.3">
      <c r="A80" s="6"/>
      <c r="B80" s="262"/>
      <c r="C80" s="263"/>
      <c r="D80" s="356"/>
      <c r="E80" s="357"/>
      <c r="G80" s="21"/>
      <c r="H80" s="22"/>
      <c r="I80" s="22"/>
      <c r="J80" s="24"/>
      <c r="L80" s="258"/>
      <c r="M80" s="22"/>
      <c r="N80" s="24"/>
      <c r="O80" s="24"/>
      <c r="R80" s="31" t="s">
        <v>17</v>
      </c>
      <c r="S80" s="6"/>
      <c r="T80" s="18">
        <f>T78+U78</f>
        <v>433.02540415704385</v>
      </c>
      <c r="U80" s="13"/>
      <c r="V80" s="6"/>
      <c r="W80" s="6"/>
      <c r="Z80" s="6"/>
      <c r="AA80" s="6"/>
      <c r="AB80" s="6"/>
    </row>
    <row r="81" spans="1:28" ht="14.25" customHeight="1" x14ac:dyDescent="0.3">
      <c r="A81" s="6">
        <v>13</v>
      </c>
      <c r="B81" s="261"/>
      <c r="C81" s="259"/>
      <c r="D81" s="350" t="str">
        <f t="shared" ref="D81:D82" si="136">IF(B81+C81=0,"-",B81+C81)</f>
        <v>-</v>
      </c>
      <c r="E81" s="351"/>
      <c r="G81" s="17">
        <f t="shared" ref="G81:G82" si="137">B81/0.23</f>
        <v>0</v>
      </c>
      <c r="H81" s="18"/>
      <c r="I81" s="18"/>
      <c r="J81" s="19">
        <f t="shared" ref="J81:J82" si="138">C81/(0.4*1.732)</f>
        <v>0</v>
      </c>
      <c r="L81" s="257">
        <v>1.25</v>
      </c>
      <c r="M81" s="18">
        <f t="shared" ref="M81:M82" si="139">G81*L81</f>
        <v>0</v>
      </c>
      <c r="N81" s="19">
        <f t="shared" ref="N81:N82" si="140">J81*L81</f>
        <v>0</v>
      </c>
      <c r="O81" s="19" t="str">
        <f t="shared" ref="O81:O82" si="141">IF((M81+N81=0),"-",(M81+N81))</f>
        <v>-</v>
      </c>
      <c r="R81" s="31"/>
      <c r="S81" s="6"/>
      <c r="T81" s="6"/>
      <c r="U81" s="13"/>
      <c r="V81" s="6"/>
      <c r="W81" s="6"/>
      <c r="Z81" s="6"/>
      <c r="AA81" s="6"/>
      <c r="AB81" s="6"/>
    </row>
    <row r="82" spans="1:28" ht="14.25" customHeight="1" x14ac:dyDescent="0.3">
      <c r="A82" s="6">
        <v>14</v>
      </c>
      <c r="B82" s="261"/>
      <c r="C82" s="259"/>
      <c r="D82" s="350" t="str">
        <f t="shared" si="136"/>
        <v>-</v>
      </c>
      <c r="E82" s="351"/>
      <c r="G82" s="17">
        <f t="shared" si="137"/>
        <v>0</v>
      </c>
      <c r="H82" s="18"/>
      <c r="I82" s="18"/>
      <c r="J82" s="19">
        <f t="shared" si="138"/>
        <v>0</v>
      </c>
      <c r="L82" s="257">
        <v>1.25</v>
      </c>
      <c r="M82" s="18">
        <f t="shared" si="139"/>
        <v>0</v>
      </c>
      <c r="N82" s="19">
        <f t="shared" si="140"/>
        <v>0</v>
      </c>
      <c r="O82" s="19" t="str">
        <f t="shared" si="141"/>
        <v>-</v>
      </c>
      <c r="R82" s="39" t="s">
        <v>18</v>
      </c>
      <c r="S82" s="40"/>
      <c r="T82" s="50">
        <f>T80*1.25</f>
        <v>541.28175519630486</v>
      </c>
      <c r="U82" s="41"/>
      <c r="V82" s="6"/>
      <c r="W82" s="6"/>
      <c r="Y82" s="30" t="s">
        <v>19</v>
      </c>
      <c r="Z82" s="15"/>
      <c r="AA82" s="15"/>
      <c r="AB82" s="16"/>
    </row>
    <row r="83" spans="1:28" ht="14.25" customHeight="1" x14ac:dyDescent="0.3">
      <c r="A83" s="6"/>
      <c r="B83" s="262"/>
      <c r="C83" s="263"/>
      <c r="D83" s="356"/>
      <c r="E83" s="357"/>
      <c r="G83" s="21"/>
      <c r="H83" s="22"/>
      <c r="I83" s="22"/>
      <c r="J83" s="24"/>
      <c r="L83" s="258"/>
      <c r="M83" s="22"/>
      <c r="N83" s="24"/>
      <c r="O83" s="24"/>
      <c r="S83" s="6"/>
      <c r="T83" s="6"/>
      <c r="U83" s="6"/>
      <c r="V83" s="6"/>
      <c r="W83" s="6"/>
      <c r="Y83" s="31"/>
      <c r="Z83" s="259">
        <v>0.8</v>
      </c>
      <c r="AB83" s="19">
        <f t="shared" ref="AB83:AB89" si="142">$T$82*Z83</f>
        <v>433.02540415704391</v>
      </c>
    </row>
    <row r="84" spans="1:28" ht="14.25" customHeight="1" x14ac:dyDescent="0.3">
      <c r="A84" s="6">
        <v>15</v>
      </c>
      <c r="B84" s="261"/>
      <c r="C84" s="259"/>
      <c r="D84" s="350" t="str">
        <f t="shared" ref="D84:D85" si="143">IF(B84+C84=0,"-",B84+C84)</f>
        <v>-</v>
      </c>
      <c r="E84" s="351"/>
      <c r="G84" s="17"/>
      <c r="H84" s="18">
        <f t="shared" ref="H84:H85" si="144">B84/0.23</f>
        <v>0</v>
      </c>
      <c r="I84" s="18"/>
      <c r="J84" s="19">
        <f t="shared" ref="J84:J85" si="145">C84/(0.4*1.732)</f>
        <v>0</v>
      </c>
      <c r="L84" s="257">
        <v>1.25</v>
      </c>
      <c r="M84" s="18">
        <f t="shared" ref="M84:M85" si="146">H84*L84</f>
        <v>0</v>
      </c>
      <c r="N84" s="19">
        <f t="shared" ref="N84:N85" si="147">J84*L84</f>
        <v>0</v>
      </c>
      <c r="O84" s="19" t="str">
        <f t="shared" ref="O84:O85" si="148">IF((M84+N84=0),"-",(M84+N84))</f>
        <v>-</v>
      </c>
      <c r="S84" s="6"/>
      <c r="T84" s="6"/>
      <c r="U84" s="6"/>
      <c r="V84" s="6"/>
      <c r="W84" s="6"/>
      <c r="Y84" s="31"/>
      <c r="Z84" s="259">
        <v>0.7</v>
      </c>
      <c r="AB84" s="19">
        <f t="shared" si="142"/>
        <v>378.89722863741338</v>
      </c>
    </row>
    <row r="85" spans="1:28" ht="14.25" customHeight="1" x14ac:dyDescent="0.3">
      <c r="A85" s="6">
        <v>16</v>
      </c>
      <c r="B85" s="261"/>
      <c r="C85" s="259"/>
      <c r="D85" s="350" t="str">
        <f t="shared" si="143"/>
        <v>-</v>
      </c>
      <c r="E85" s="351"/>
      <c r="G85" s="17"/>
      <c r="H85" s="18">
        <f t="shared" si="144"/>
        <v>0</v>
      </c>
      <c r="I85" s="18"/>
      <c r="J85" s="19">
        <f t="shared" si="145"/>
        <v>0</v>
      </c>
      <c r="L85" s="257">
        <v>1.25</v>
      </c>
      <c r="M85" s="18">
        <f t="shared" si="146"/>
        <v>0</v>
      </c>
      <c r="N85" s="19">
        <f t="shared" si="147"/>
        <v>0</v>
      </c>
      <c r="O85" s="19" t="str">
        <f t="shared" si="148"/>
        <v>-</v>
      </c>
      <c r="S85" s="6"/>
      <c r="T85" s="6"/>
      <c r="U85" s="6"/>
      <c r="V85" s="6"/>
      <c r="W85" s="6"/>
      <c r="Y85" s="31"/>
      <c r="Z85" s="259">
        <v>0.65</v>
      </c>
      <c r="AB85" s="19">
        <f t="shared" si="142"/>
        <v>351.83314087759817</v>
      </c>
    </row>
    <row r="86" spans="1:28" ht="14.25" customHeight="1" x14ac:dyDescent="0.3">
      <c r="A86" s="6"/>
      <c r="B86" s="262"/>
      <c r="C86" s="263"/>
      <c r="D86" s="356"/>
      <c r="E86" s="357"/>
      <c r="G86" s="21"/>
      <c r="H86" s="22"/>
      <c r="I86" s="22"/>
      <c r="J86" s="24"/>
      <c r="L86" s="258"/>
      <c r="M86" s="22"/>
      <c r="N86" s="24"/>
      <c r="O86" s="24"/>
      <c r="S86" s="6"/>
      <c r="T86" s="6"/>
      <c r="U86" s="6"/>
      <c r="V86" s="6"/>
      <c r="W86" s="6"/>
      <c r="Y86" s="31"/>
      <c r="Z86" s="259">
        <v>0.5</v>
      </c>
      <c r="AB86" s="19">
        <f t="shared" si="142"/>
        <v>270.64087759815243</v>
      </c>
    </row>
    <row r="87" spans="1:28" ht="14.25" customHeight="1" x14ac:dyDescent="0.3">
      <c r="A87" s="6">
        <v>17</v>
      </c>
      <c r="B87" s="261"/>
      <c r="C87" s="259"/>
      <c r="D87" s="350" t="str">
        <f t="shared" ref="D87:D88" si="149">IF(B87+C87=0,"-",B87+C87)</f>
        <v>-</v>
      </c>
      <c r="E87" s="351"/>
      <c r="G87" s="48"/>
      <c r="H87" s="18"/>
      <c r="I87" s="18">
        <f t="shared" ref="I87:I88" si="150">B87/0.23</f>
        <v>0</v>
      </c>
      <c r="J87" s="19">
        <f t="shared" ref="J87:J88" si="151">C87/(0.4*1.732)</f>
        <v>0</v>
      </c>
      <c r="L87" s="257">
        <v>1.25</v>
      </c>
      <c r="M87" s="18">
        <f t="shared" ref="M87:M88" si="152">I87*L87</f>
        <v>0</v>
      </c>
      <c r="N87" s="19">
        <f t="shared" ref="N87:N88" si="153">J87*L87</f>
        <v>0</v>
      </c>
      <c r="O87" s="19" t="str">
        <f t="shared" ref="O87:O88" si="154">IF((M87+N87=0),"-",(M87+N87))</f>
        <v>-</v>
      </c>
      <c r="R87" s="30" t="s">
        <v>20</v>
      </c>
      <c r="S87" s="15"/>
      <c r="T87" s="15"/>
      <c r="U87" s="16"/>
      <c r="V87" s="6"/>
      <c r="W87" s="6"/>
      <c r="Y87" s="31"/>
      <c r="Z87" s="259">
        <v>0.4</v>
      </c>
      <c r="AB87" s="19">
        <f t="shared" si="142"/>
        <v>216.51270207852195</v>
      </c>
    </row>
    <row r="88" spans="1:28" ht="14.25" customHeight="1" x14ac:dyDescent="0.3">
      <c r="A88" s="6">
        <v>18</v>
      </c>
      <c r="B88" s="261"/>
      <c r="C88" s="259"/>
      <c r="D88" s="350" t="str">
        <f t="shared" si="149"/>
        <v>-</v>
      </c>
      <c r="E88" s="351"/>
      <c r="G88" s="17"/>
      <c r="H88" s="18"/>
      <c r="I88" s="18">
        <f t="shared" si="150"/>
        <v>0</v>
      </c>
      <c r="J88" s="19">
        <f t="shared" si="151"/>
        <v>0</v>
      </c>
      <c r="L88" s="257">
        <v>1.25</v>
      </c>
      <c r="M88" s="18">
        <f t="shared" si="152"/>
        <v>0</v>
      </c>
      <c r="N88" s="19">
        <f t="shared" si="153"/>
        <v>0</v>
      </c>
      <c r="O88" s="19" t="str">
        <f t="shared" si="154"/>
        <v>-</v>
      </c>
      <c r="R88" s="31"/>
      <c r="S88" s="6" t="s">
        <v>21</v>
      </c>
      <c r="T88" s="6" t="s">
        <v>22</v>
      </c>
      <c r="U88" s="13" t="s">
        <v>23</v>
      </c>
      <c r="V88" s="6"/>
      <c r="W88" s="6"/>
      <c r="Y88" s="31"/>
      <c r="Z88" s="259">
        <v>0.38</v>
      </c>
      <c r="AB88" s="19">
        <f t="shared" si="142"/>
        <v>205.68706697459584</v>
      </c>
    </row>
    <row r="89" spans="1:28" ht="14.25" customHeight="1" x14ac:dyDescent="0.3">
      <c r="A89" s="6"/>
      <c r="B89" s="262"/>
      <c r="C89" s="263"/>
      <c r="D89" s="356"/>
      <c r="E89" s="357"/>
      <c r="G89" s="21"/>
      <c r="H89" s="22"/>
      <c r="I89" s="22"/>
      <c r="J89" s="24"/>
      <c r="L89" s="258"/>
      <c r="M89" s="22"/>
      <c r="N89" s="24"/>
      <c r="O89" s="24"/>
      <c r="R89" s="31"/>
      <c r="S89" s="6"/>
      <c r="T89" s="6"/>
      <c r="U89" s="13"/>
      <c r="V89" s="6"/>
      <c r="W89" s="6"/>
      <c r="Y89" s="31" t="s">
        <v>24</v>
      </c>
      <c r="Z89" s="259">
        <v>0.2</v>
      </c>
      <c r="AB89" s="19">
        <f t="shared" si="142"/>
        <v>108.25635103926098</v>
      </c>
    </row>
    <row r="90" spans="1:28" ht="14.25" customHeight="1" x14ac:dyDescent="0.3">
      <c r="A90" s="6">
        <v>19</v>
      </c>
      <c r="B90" s="261"/>
      <c r="C90" s="259"/>
      <c r="D90" s="350" t="str">
        <f t="shared" ref="D90:D91" si="155">IF(B90+C90=0,"-",B90+C90)</f>
        <v>-</v>
      </c>
      <c r="E90" s="351"/>
      <c r="G90" s="17">
        <f t="shared" ref="G90:G91" si="156">B90/0.23</f>
        <v>0</v>
      </c>
      <c r="H90" s="18"/>
      <c r="I90" s="18"/>
      <c r="J90" s="19">
        <f t="shared" ref="J90:J91" si="157">C90/(0.4*1.732)</f>
        <v>0</v>
      </c>
      <c r="L90" s="257">
        <v>1.25</v>
      </c>
      <c r="M90" s="18">
        <f t="shared" ref="M90:M91" si="158">G90*L90</f>
        <v>0</v>
      </c>
      <c r="N90" s="19">
        <f t="shared" ref="N90:N91" si="159">J90*L90</f>
        <v>0</v>
      </c>
      <c r="O90" s="19" t="str">
        <f t="shared" ref="O90:O91" si="160">IF((M90+N90=0),"-",(M90+N90))</f>
        <v>-</v>
      </c>
      <c r="R90" s="31" t="s">
        <v>25</v>
      </c>
      <c r="S90" s="259">
        <v>1.25</v>
      </c>
      <c r="T90" s="259">
        <v>22.37</v>
      </c>
      <c r="U90" s="51">
        <f t="shared" ref="U90:U93" si="161">T90*S90</f>
        <v>27.962500000000002</v>
      </c>
      <c r="V90" s="6"/>
      <c r="W90" s="6"/>
      <c r="Y90" s="31"/>
      <c r="Z90" s="6"/>
      <c r="AA90" s="6"/>
      <c r="AB90" s="13"/>
    </row>
    <row r="91" spans="1:28" ht="14.25" customHeight="1" x14ac:dyDescent="0.3">
      <c r="A91" s="6">
        <v>20</v>
      </c>
      <c r="B91" s="261"/>
      <c r="C91" s="259"/>
      <c r="D91" s="350" t="str">
        <f t="shared" si="155"/>
        <v>-</v>
      </c>
      <c r="E91" s="351"/>
      <c r="G91" s="17">
        <f t="shared" si="156"/>
        <v>0</v>
      </c>
      <c r="H91" s="18"/>
      <c r="I91" s="18"/>
      <c r="J91" s="19">
        <f t="shared" si="157"/>
        <v>0</v>
      </c>
      <c r="L91" s="257">
        <v>1.25</v>
      </c>
      <c r="M91" s="18">
        <f t="shared" si="158"/>
        <v>0</v>
      </c>
      <c r="N91" s="19">
        <f t="shared" si="159"/>
        <v>0</v>
      </c>
      <c r="O91" s="19" t="str">
        <f t="shared" si="160"/>
        <v>-</v>
      </c>
      <c r="R91" s="31" t="s">
        <v>26</v>
      </c>
      <c r="S91" s="259">
        <v>2.25</v>
      </c>
      <c r="T91" s="259">
        <v>12</v>
      </c>
      <c r="U91" s="13">
        <f t="shared" si="161"/>
        <v>27</v>
      </c>
      <c r="V91" s="6"/>
      <c r="W91" s="6"/>
      <c r="Y91" s="38" t="s">
        <v>15</v>
      </c>
      <c r="Z91" s="259">
        <v>0.8</v>
      </c>
      <c r="AA91" s="259"/>
      <c r="AB91" s="13">
        <f t="shared" ref="AB91:AB96" si="162">AA91*Z91</f>
        <v>0</v>
      </c>
    </row>
    <row r="92" spans="1:28" ht="14.25" customHeight="1" x14ac:dyDescent="0.3">
      <c r="A92" s="6"/>
      <c r="B92" s="262"/>
      <c r="C92" s="263"/>
      <c r="D92" s="356"/>
      <c r="E92" s="357"/>
      <c r="G92" s="21"/>
      <c r="H92" s="22"/>
      <c r="I92" s="22"/>
      <c r="J92" s="24"/>
      <c r="L92" s="258"/>
      <c r="M92" s="22"/>
      <c r="N92" s="24"/>
      <c r="O92" s="24"/>
      <c r="R92" s="31" t="s">
        <v>27</v>
      </c>
      <c r="S92" s="259">
        <v>2</v>
      </c>
      <c r="T92" s="259"/>
      <c r="U92" s="13">
        <f t="shared" si="161"/>
        <v>0</v>
      </c>
      <c r="V92" s="6"/>
      <c r="W92" s="6"/>
      <c r="Y92" s="31"/>
      <c r="Z92" s="259">
        <v>0.7</v>
      </c>
      <c r="AA92" s="259"/>
      <c r="AB92" s="13">
        <f t="shared" si="162"/>
        <v>0</v>
      </c>
    </row>
    <row r="93" spans="1:28" ht="14.25" customHeight="1" x14ac:dyDescent="0.3">
      <c r="A93" s="6">
        <v>21</v>
      </c>
      <c r="B93" s="261"/>
      <c r="C93" s="259"/>
      <c r="D93" s="350" t="str">
        <f t="shared" ref="D93:D94" si="163">IF(B93+C93=0,"-",B93+C93)</f>
        <v>-</v>
      </c>
      <c r="E93" s="351"/>
      <c r="G93" s="17"/>
      <c r="H93" s="18">
        <f t="shared" ref="H93:H94" si="164">B93/0.23</f>
        <v>0</v>
      </c>
      <c r="I93" s="18"/>
      <c r="J93" s="19">
        <f t="shared" ref="J93:J94" si="165">C93/(0.4*1.732)</f>
        <v>0</v>
      </c>
      <c r="L93" s="257">
        <v>1.25</v>
      </c>
      <c r="M93" s="18">
        <f t="shared" ref="M93:M94" si="166">H93*L93</f>
        <v>0</v>
      </c>
      <c r="N93" s="19">
        <f t="shared" ref="N93:N94" si="167">J93*L93</f>
        <v>0</v>
      </c>
      <c r="O93" s="19" t="str">
        <f t="shared" ref="O93:O94" si="168">IF((M93+N93=0),"-",(M93+N93))</f>
        <v>-</v>
      </c>
      <c r="R93" s="39" t="s">
        <v>28</v>
      </c>
      <c r="S93" s="260">
        <v>1.5</v>
      </c>
      <c r="T93" s="260"/>
      <c r="U93" s="41">
        <f t="shared" si="161"/>
        <v>0</v>
      </c>
      <c r="V93" s="6"/>
      <c r="W93" s="6"/>
      <c r="Y93" s="31"/>
      <c r="Z93" s="259">
        <v>0.6</v>
      </c>
      <c r="AA93" s="259"/>
      <c r="AB93" s="13">
        <f t="shared" si="162"/>
        <v>0</v>
      </c>
    </row>
    <row r="94" spans="1:28" ht="14.25" customHeight="1" x14ac:dyDescent="0.3">
      <c r="A94" s="6">
        <v>22</v>
      </c>
      <c r="B94" s="261"/>
      <c r="C94" s="259"/>
      <c r="D94" s="350" t="str">
        <f t="shared" si="163"/>
        <v>-</v>
      </c>
      <c r="E94" s="351"/>
      <c r="G94" s="17"/>
      <c r="H94" s="18">
        <f t="shared" si="164"/>
        <v>0</v>
      </c>
      <c r="I94" s="18"/>
      <c r="J94" s="19">
        <f t="shared" si="165"/>
        <v>0</v>
      </c>
      <c r="L94" s="257">
        <v>1.25</v>
      </c>
      <c r="M94" s="18">
        <f t="shared" si="166"/>
        <v>0</v>
      </c>
      <c r="N94" s="19">
        <f t="shared" si="167"/>
        <v>0</v>
      </c>
      <c r="O94" s="19" t="str">
        <f t="shared" si="168"/>
        <v>-</v>
      </c>
      <c r="S94" s="6"/>
      <c r="T94" s="6"/>
      <c r="U94" s="6"/>
      <c r="V94" s="6"/>
      <c r="W94" s="6"/>
      <c r="Y94" s="31"/>
      <c r="Z94" s="259">
        <v>0.5</v>
      </c>
      <c r="AA94" s="259"/>
      <c r="AB94" s="13">
        <f t="shared" si="162"/>
        <v>0</v>
      </c>
    </row>
    <row r="95" spans="1:28" ht="14.25" customHeight="1" x14ac:dyDescent="0.3">
      <c r="A95" s="6"/>
      <c r="B95" s="262"/>
      <c r="C95" s="263"/>
      <c r="D95" s="356"/>
      <c r="E95" s="357"/>
      <c r="G95" s="21"/>
      <c r="H95" s="22"/>
      <c r="I95" s="22"/>
      <c r="J95" s="24"/>
      <c r="L95" s="258"/>
      <c r="M95" s="22"/>
      <c r="N95" s="24"/>
      <c r="O95" s="24"/>
      <c r="S95" s="6"/>
      <c r="T95" s="6"/>
      <c r="U95" s="6"/>
      <c r="V95" s="6"/>
      <c r="W95" s="6"/>
      <c r="Y95" s="31"/>
      <c r="Z95" s="259">
        <v>0.4</v>
      </c>
      <c r="AA95" s="259"/>
      <c r="AB95" s="13">
        <f t="shared" si="162"/>
        <v>0</v>
      </c>
    </row>
    <row r="96" spans="1:28" ht="14.25" customHeight="1" x14ac:dyDescent="0.3">
      <c r="A96" s="6">
        <v>23</v>
      </c>
      <c r="B96" s="261"/>
      <c r="C96" s="259"/>
      <c r="D96" s="350" t="str">
        <f t="shared" ref="D96:D97" si="169">IF(B96+C96=0,"-",B96+C96)</f>
        <v>-</v>
      </c>
      <c r="E96" s="351"/>
      <c r="G96" s="48"/>
      <c r="H96" s="18"/>
      <c r="I96" s="18">
        <f t="shared" ref="I96:I97" si="170">B96/0.23</f>
        <v>0</v>
      </c>
      <c r="J96" s="19">
        <f t="shared" ref="J96:J97" si="171">C96/(0.4*1.732)</f>
        <v>0</v>
      </c>
      <c r="L96" s="257">
        <v>1.25</v>
      </c>
      <c r="M96" s="18">
        <f t="shared" ref="M96:M97" si="172">I96*L96</f>
        <v>0</v>
      </c>
      <c r="N96" s="19">
        <f t="shared" ref="N96:N97" si="173">J96*L96</f>
        <v>0</v>
      </c>
      <c r="O96" s="19" t="str">
        <f t="shared" ref="O96:O97" si="174">IF((M96+N96=0),"-",(M96+N96))</f>
        <v>-</v>
      </c>
      <c r="S96" s="6"/>
      <c r="T96" s="6"/>
      <c r="U96" s="6"/>
      <c r="V96" s="6"/>
      <c r="W96" s="6"/>
      <c r="Y96" s="39"/>
      <c r="Z96" s="260">
        <v>0.3</v>
      </c>
      <c r="AA96" s="260"/>
      <c r="AB96" s="41">
        <f t="shared" si="162"/>
        <v>0</v>
      </c>
    </row>
    <row r="97" spans="1:26" ht="14.25" customHeight="1" x14ac:dyDescent="0.3">
      <c r="A97" s="6">
        <v>24</v>
      </c>
      <c r="B97" s="261"/>
      <c r="C97" s="259"/>
      <c r="D97" s="350" t="str">
        <f t="shared" si="169"/>
        <v>-</v>
      </c>
      <c r="E97" s="351"/>
      <c r="G97" s="17"/>
      <c r="H97" s="18"/>
      <c r="I97" s="18">
        <f t="shared" si="170"/>
        <v>0</v>
      </c>
      <c r="J97" s="19">
        <f t="shared" si="171"/>
        <v>0</v>
      </c>
      <c r="L97" s="257">
        <v>1.25</v>
      </c>
      <c r="M97" s="18">
        <f t="shared" si="172"/>
        <v>0</v>
      </c>
      <c r="N97" s="19">
        <f t="shared" si="173"/>
        <v>0</v>
      </c>
      <c r="O97" s="19" t="str">
        <f t="shared" si="174"/>
        <v>-</v>
      </c>
      <c r="P97" s="6"/>
      <c r="Q97" s="6"/>
      <c r="R97" s="6"/>
      <c r="S97" s="6"/>
      <c r="T97" s="6"/>
      <c r="X97" s="6"/>
      <c r="Y97" s="6"/>
      <c r="Z97" s="6"/>
    </row>
    <row r="98" spans="1:26" ht="14.25" customHeight="1" x14ac:dyDescent="0.3">
      <c r="A98" s="6"/>
      <c r="B98" s="262"/>
      <c r="C98" s="263"/>
      <c r="D98" s="356"/>
      <c r="E98" s="357"/>
      <c r="G98" s="21"/>
      <c r="H98" s="22"/>
      <c r="I98" s="22"/>
      <c r="J98" s="24"/>
      <c r="L98" s="258"/>
      <c r="M98" s="22"/>
      <c r="N98" s="24"/>
      <c r="O98" s="24"/>
      <c r="P98" s="6"/>
      <c r="Q98" s="6"/>
      <c r="R98" s="6"/>
      <c r="S98" s="6"/>
      <c r="T98" s="6"/>
      <c r="X98" s="6"/>
      <c r="Y98" s="6"/>
      <c r="Z98" s="6"/>
    </row>
    <row r="99" spans="1:26" ht="14.25" customHeight="1" x14ac:dyDescent="0.3">
      <c r="A99" s="6">
        <v>25</v>
      </c>
      <c r="B99" s="261"/>
      <c r="C99" s="259"/>
      <c r="D99" s="350" t="str">
        <f t="shared" ref="D99:D100" si="175">IF(B99+C99=0,"-",B99+C99)</f>
        <v>-</v>
      </c>
      <c r="E99" s="351"/>
      <c r="G99" s="17">
        <f t="shared" ref="G99:G100" si="176">B99/0.23</f>
        <v>0</v>
      </c>
      <c r="H99" s="18"/>
      <c r="I99" s="18"/>
      <c r="J99" s="19">
        <f t="shared" ref="J99:J100" si="177">C99/(0.4*1.732)</f>
        <v>0</v>
      </c>
      <c r="L99" s="257">
        <v>1.25</v>
      </c>
      <c r="M99" s="18">
        <f t="shared" ref="M99:M100" si="178">G99*L99</f>
        <v>0</v>
      </c>
      <c r="N99" s="19">
        <f t="shared" ref="N99:N100" si="179">J99*L99</f>
        <v>0</v>
      </c>
      <c r="O99" s="19" t="str">
        <f t="shared" ref="O99:O100" si="180">IF((M99+N99=0),"-",(M99+N99))</f>
        <v>-</v>
      </c>
      <c r="P99" s="6"/>
      <c r="Q99" s="6"/>
      <c r="R99" s="6"/>
      <c r="S99" s="6"/>
      <c r="T99" s="6"/>
      <c r="X99" s="6"/>
      <c r="Y99" s="6"/>
      <c r="Z99" s="6"/>
    </row>
    <row r="100" spans="1:26" ht="14.25" customHeight="1" x14ac:dyDescent="0.3">
      <c r="A100" s="6">
        <v>26</v>
      </c>
      <c r="B100" s="261"/>
      <c r="C100" s="259"/>
      <c r="D100" s="350" t="str">
        <f t="shared" si="175"/>
        <v>-</v>
      </c>
      <c r="E100" s="351"/>
      <c r="G100" s="17">
        <f t="shared" si="176"/>
        <v>0</v>
      </c>
      <c r="H100" s="18"/>
      <c r="I100" s="18"/>
      <c r="J100" s="19">
        <f t="shared" si="177"/>
        <v>0</v>
      </c>
      <c r="L100" s="257">
        <v>1.25</v>
      </c>
      <c r="M100" s="18">
        <f t="shared" si="178"/>
        <v>0</v>
      </c>
      <c r="N100" s="19">
        <f t="shared" si="179"/>
        <v>0</v>
      </c>
      <c r="O100" s="19" t="str">
        <f t="shared" si="180"/>
        <v>-</v>
      </c>
      <c r="P100" s="6"/>
      <c r="Q100" s="6"/>
      <c r="R100" s="6"/>
      <c r="S100" s="6"/>
      <c r="T100" s="6"/>
      <c r="X100" s="6"/>
      <c r="Y100" s="6"/>
      <c r="Z100" s="6"/>
    </row>
    <row r="101" spans="1:26" ht="14.25" customHeight="1" x14ac:dyDescent="0.3">
      <c r="A101" s="6"/>
      <c r="B101" s="262"/>
      <c r="C101" s="263"/>
      <c r="D101" s="356"/>
      <c r="E101" s="357"/>
      <c r="G101" s="21"/>
      <c r="H101" s="22"/>
      <c r="I101" s="22"/>
      <c r="J101" s="24"/>
      <c r="L101" s="258"/>
      <c r="M101" s="22"/>
      <c r="N101" s="24"/>
      <c r="O101" s="24"/>
      <c r="P101" s="6"/>
      <c r="Q101" s="6"/>
      <c r="R101" s="6"/>
      <c r="S101" s="6"/>
      <c r="T101" s="6"/>
      <c r="X101" s="6"/>
      <c r="Y101" s="6"/>
      <c r="Z101" s="6"/>
    </row>
    <row r="102" spans="1:26" ht="14.25" customHeight="1" x14ac:dyDescent="0.3">
      <c r="A102" s="6">
        <v>27</v>
      </c>
      <c r="B102" s="261"/>
      <c r="C102" s="259"/>
      <c r="D102" s="350" t="str">
        <f t="shared" ref="D102:D103" si="181">IF(B102+C102=0,"-",B102+C102)</f>
        <v>-</v>
      </c>
      <c r="E102" s="351"/>
      <c r="G102" s="17"/>
      <c r="H102" s="18">
        <f t="shared" ref="H102:H103" si="182">B102/0.23</f>
        <v>0</v>
      </c>
      <c r="I102" s="18"/>
      <c r="J102" s="19">
        <f t="shared" ref="J102:J103" si="183">C102/(0.4*1.732)</f>
        <v>0</v>
      </c>
      <c r="L102" s="257">
        <v>1.25</v>
      </c>
      <c r="M102" s="18">
        <f t="shared" ref="M102:M103" si="184">H102*L102</f>
        <v>0</v>
      </c>
      <c r="N102" s="19">
        <f t="shared" ref="N102:N103" si="185">J102*L102</f>
        <v>0</v>
      </c>
      <c r="O102" s="19" t="str">
        <f t="shared" ref="O102:O103" si="186">IF((M102+N102=0),"-",(M102+N102))</f>
        <v>-</v>
      </c>
      <c r="P102" s="6"/>
      <c r="Q102" s="6"/>
      <c r="R102" s="6"/>
      <c r="S102" s="6"/>
      <c r="T102" s="6"/>
      <c r="X102" s="6"/>
      <c r="Y102" s="6"/>
      <c r="Z102" s="6"/>
    </row>
    <row r="103" spans="1:26" ht="14.25" customHeight="1" x14ac:dyDescent="0.3">
      <c r="A103" s="6">
        <v>28</v>
      </c>
      <c r="B103" s="261"/>
      <c r="C103" s="259"/>
      <c r="D103" s="350" t="str">
        <f t="shared" si="181"/>
        <v>-</v>
      </c>
      <c r="E103" s="351"/>
      <c r="G103" s="17"/>
      <c r="H103" s="18">
        <f t="shared" si="182"/>
        <v>0</v>
      </c>
      <c r="I103" s="18"/>
      <c r="J103" s="19">
        <f t="shared" si="183"/>
        <v>0</v>
      </c>
      <c r="L103" s="257">
        <v>1.25</v>
      </c>
      <c r="M103" s="18">
        <f t="shared" si="184"/>
        <v>0</v>
      </c>
      <c r="N103" s="19">
        <f t="shared" si="185"/>
        <v>0</v>
      </c>
      <c r="O103" s="19" t="str">
        <f t="shared" si="186"/>
        <v>-</v>
      </c>
      <c r="P103" s="6"/>
      <c r="Q103" s="6"/>
      <c r="R103" s="6"/>
      <c r="S103" s="6"/>
      <c r="T103" s="6"/>
      <c r="X103" s="6"/>
      <c r="Y103" s="6"/>
      <c r="Z103" s="6"/>
    </row>
    <row r="104" spans="1:26" ht="14.25" customHeight="1" x14ac:dyDescent="0.3">
      <c r="A104" s="6"/>
      <c r="B104" s="262"/>
      <c r="C104" s="263"/>
      <c r="D104" s="356"/>
      <c r="E104" s="357"/>
      <c r="G104" s="21"/>
      <c r="H104" s="22"/>
      <c r="I104" s="22"/>
      <c r="J104" s="24"/>
      <c r="L104" s="258"/>
      <c r="M104" s="22"/>
      <c r="N104" s="24"/>
      <c r="O104" s="24"/>
      <c r="P104" s="6"/>
      <c r="Q104" s="6"/>
      <c r="R104" s="6"/>
      <c r="S104" s="6"/>
      <c r="T104" s="6"/>
      <c r="X104" s="6"/>
      <c r="Y104" s="6"/>
      <c r="Z104" s="6"/>
    </row>
    <row r="105" spans="1:26" ht="14.25" customHeight="1" x14ac:dyDescent="0.3">
      <c r="A105" s="6">
        <v>29</v>
      </c>
      <c r="B105" s="261"/>
      <c r="C105" s="259"/>
      <c r="D105" s="350" t="str">
        <f t="shared" ref="D105:D106" si="187">IF(B105+C105=0,"-",B105+C105)</f>
        <v>-</v>
      </c>
      <c r="E105" s="351"/>
      <c r="G105" s="48"/>
      <c r="H105" s="18"/>
      <c r="I105" s="18">
        <f t="shared" ref="I105:I106" si="188">B105/0.23</f>
        <v>0</v>
      </c>
      <c r="J105" s="19">
        <f t="shared" ref="J105:J106" si="189">C105/(0.4*1.732)</f>
        <v>0</v>
      </c>
      <c r="L105" s="257">
        <v>1.25</v>
      </c>
      <c r="M105" s="18">
        <f t="shared" ref="M105:M106" si="190">I105*L105</f>
        <v>0</v>
      </c>
      <c r="N105" s="19">
        <f t="shared" ref="N105:N106" si="191">J105*L105</f>
        <v>0</v>
      </c>
      <c r="O105" s="19" t="str">
        <f t="shared" ref="O105:O106" si="192">IF((M105+N105=0),"-",(M105+N105))</f>
        <v>-</v>
      </c>
      <c r="P105" s="6"/>
      <c r="Q105" s="6"/>
      <c r="R105" s="6"/>
      <c r="S105" s="6"/>
      <c r="T105" s="6"/>
      <c r="X105" s="6"/>
      <c r="Y105" s="6"/>
      <c r="Z105" s="6"/>
    </row>
    <row r="106" spans="1:26" ht="14.25" customHeight="1" x14ac:dyDescent="0.3">
      <c r="A106" s="6">
        <v>30</v>
      </c>
      <c r="B106" s="261"/>
      <c r="C106" s="259"/>
      <c r="D106" s="350" t="str">
        <f t="shared" si="187"/>
        <v>-</v>
      </c>
      <c r="E106" s="351"/>
      <c r="G106" s="17"/>
      <c r="H106" s="18"/>
      <c r="I106" s="18">
        <f t="shared" si="188"/>
        <v>0</v>
      </c>
      <c r="J106" s="19">
        <f t="shared" si="189"/>
        <v>0</v>
      </c>
      <c r="L106" s="257">
        <v>1.25</v>
      </c>
      <c r="M106" s="18">
        <f t="shared" si="190"/>
        <v>0</v>
      </c>
      <c r="N106" s="19">
        <f t="shared" si="191"/>
        <v>0</v>
      </c>
      <c r="O106" s="19" t="str">
        <f t="shared" si="192"/>
        <v>-</v>
      </c>
      <c r="P106" s="6"/>
      <c r="Q106" s="6"/>
      <c r="R106" s="6"/>
      <c r="S106" s="6"/>
      <c r="T106" s="6"/>
      <c r="X106" s="6"/>
      <c r="Y106" s="6"/>
      <c r="Z106" s="6"/>
    </row>
    <row r="107" spans="1:26" ht="14.25" customHeight="1" x14ac:dyDescent="0.3">
      <c r="B107" s="262"/>
      <c r="C107" s="263"/>
      <c r="D107" s="356"/>
      <c r="E107" s="357"/>
      <c r="G107" s="21"/>
      <c r="H107" s="22"/>
      <c r="I107" s="22"/>
      <c r="J107" s="24"/>
      <c r="L107" s="258"/>
      <c r="M107" s="22"/>
      <c r="N107" s="24"/>
      <c r="O107" s="24"/>
      <c r="P107" s="6"/>
      <c r="Q107" s="6"/>
      <c r="R107" s="6"/>
      <c r="S107" s="6"/>
      <c r="T107" s="6"/>
      <c r="X107" s="6"/>
      <c r="Y107" s="6"/>
      <c r="Z107" s="6"/>
    </row>
    <row r="108" spans="1:26" ht="14.25" customHeight="1" x14ac:dyDescent="0.3">
      <c r="B108" s="261"/>
      <c r="C108" s="259"/>
      <c r="D108" s="350"/>
      <c r="E108" s="351"/>
      <c r="G108" s="12"/>
      <c r="J108" s="13"/>
      <c r="L108" s="257"/>
      <c r="M108" s="18"/>
      <c r="N108" s="19"/>
      <c r="O108" s="19"/>
      <c r="P108" s="6"/>
      <c r="Q108" s="6"/>
      <c r="R108" s="6"/>
      <c r="S108" s="6"/>
      <c r="T108" s="6"/>
      <c r="X108" s="6"/>
      <c r="Y108" s="6"/>
      <c r="Z108" s="6"/>
    </row>
    <row r="109" spans="1:26" ht="14.25" customHeight="1" x14ac:dyDescent="0.3">
      <c r="B109" s="261"/>
      <c r="C109" s="259"/>
      <c r="D109" s="350"/>
      <c r="E109" s="351"/>
      <c r="G109" s="12"/>
      <c r="J109" s="13"/>
      <c r="L109" s="257"/>
      <c r="M109" s="18"/>
      <c r="N109" s="19"/>
      <c r="O109" s="19"/>
      <c r="P109" s="6"/>
      <c r="Q109" s="6"/>
      <c r="R109" s="6"/>
      <c r="S109" s="6"/>
      <c r="T109" s="6"/>
      <c r="X109" s="6"/>
      <c r="Y109" s="6"/>
      <c r="Z109" s="6"/>
    </row>
    <row r="110" spans="1:26" ht="14.25" customHeight="1" x14ac:dyDescent="0.3">
      <c r="B110" s="12"/>
      <c r="C110" s="6"/>
      <c r="D110" s="350"/>
      <c r="E110" s="351"/>
      <c r="G110" s="12"/>
      <c r="J110" s="13"/>
      <c r="L110" s="20"/>
      <c r="M110" s="18"/>
      <c r="N110" s="19"/>
      <c r="O110" s="19"/>
      <c r="P110" s="6"/>
      <c r="Q110" s="6"/>
      <c r="R110" s="6"/>
      <c r="S110" s="6"/>
      <c r="T110" s="6"/>
      <c r="X110" s="6"/>
      <c r="Y110" s="6"/>
      <c r="Z110" s="6"/>
    </row>
    <row r="111" spans="1:26" ht="14.25" customHeight="1" x14ac:dyDescent="0.3">
      <c r="B111" s="52">
        <f t="shared" ref="B111:C111" si="193">SUM(B63:B106)</f>
        <v>0</v>
      </c>
      <c r="C111" s="40">
        <f t="shared" si="193"/>
        <v>300</v>
      </c>
      <c r="D111" s="358">
        <f>B111+C111</f>
        <v>300</v>
      </c>
      <c r="E111" s="359"/>
      <c r="G111" s="42">
        <f t="shared" ref="G111:J111" si="194">SUM(G62:G106)</f>
        <v>0</v>
      </c>
      <c r="H111" s="43">
        <f t="shared" si="194"/>
        <v>0</v>
      </c>
      <c r="I111" s="43">
        <f t="shared" si="194"/>
        <v>0</v>
      </c>
      <c r="J111" s="44">
        <f t="shared" si="194"/>
        <v>433.02540415704385</v>
      </c>
      <c r="L111" s="45">
        <v>1.25</v>
      </c>
      <c r="M111" s="43">
        <f>MAX(G111:I111)*L111</f>
        <v>0</v>
      </c>
      <c r="N111" s="44">
        <f>J111*L111</f>
        <v>541.28175519630486</v>
      </c>
      <c r="O111" s="44">
        <f>(MAX(G111:I111)+J111)*L111</f>
        <v>541.28175519630486</v>
      </c>
    </row>
    <row r="112" spans="1:26" ht="14.25" customHeight="1" x14ac:dyDescent="0.3">
      <c r="B112" s="360"/>
      <c r="C112" s="361"/>
      <c r="D112" s="6"/>
      <c r="E112" s="6"/>
      <c r="F112" s="6"/>
      <c r="J112" s="6"/>
      <c r="K112" s="6"/>
      <c r="L112" s="6"/>
    </row>
    <row r="113" spans="1:28" ht="14.25" customHeight="1" x14ac:dyDescent="0.3"/>
    <row r="114" spans="1:28" ht="14.25" customHeight="1" x14ac:dyDescent="0.3"/>
    <row r="115" spans="1:28" ht="14.25" customHeight="1" x14ac:dyDescent="0.3"/>
    <row r="116" spans="1:28" ht="14.25" customHeight="1" x14ac:dyDescent="0.3"/>
    <row r="117" spans="1:28" ht="14.25" customHeight="1" x14ac:dyDescent="0.3">
      <c r="B117" s="344" t="s">
        <v>31</v>
      </c>
      <c r="C117" s="345"/>
      <c r="D117" s="345"/>
      <c r="E117" s="346"/>
    </row>
    <row r="118" spans="1:28" ht="14.25" customHeight="1" x14ac:dyDescent="0.3"/>
    <row r="119" spans="1:28" ht="14.25" customHeight="1" x14ac:dyDescent="0.3">
      <c r="B119" s="348" t="s">
        <v>1</v>
      </c>
      <c r="C119" s="345"/>
      <c r="D119" s="345"/>
      <c r="E119" s="346"/>
      <c r="G119" s="1" t="s">
        <v>2</v>
      </c>
      <c r="H119" s="347" t="s">
        <v>3</v>
      </c>
      <c r="I119" s="345"/>
      <c r="J119" s="346"/>
      <c r="L119" s="3" t="s">
        <v>4</v>
      </c>
      <c r="M119" s="2"/>
      <c r="N119" s="2"/>
      <c r="O119" s="4"/>
      <c r="P119" s="5"/>
      <c r="S119" s="6"/>
      <c r="T119" s="6"/>
      <c r="U119" s="6"/>
      <c r="V119" s="6"/>
      <c r="W119" s="6"/>
      <c r="AA119" s="6"/>
      <c r="AB119" s="6"/>
    </row>
    <row r="120" spans="1:28" ht="14.25" customHeight="1" x14ac:dyDescent="0.3">
      <c r="A120" s="6"/>
      <c r="B120" s="7" t="s">
        <v>5</v>
      </c>
      <c r="C120" s="8" t="s">
        <v>6</v>
      </c>
      <c r="D120" s="8" t="s">
        <v>7</v>
      </c>
      <c r="E120" s="9" t="s">
        <v>8</v>
      </c>
      <c r="G120" s="10"/>
      <c r="H120" s="11" t="s">
        <v>9</v>
      </c>
      <c r="I120" s="11" t="s">
        <v>8</v>
      </c>
      <c r="J120" s="11" t="s">
        <v>10</v>
      </c>
      <c r="L120" s="3" t="s">
        <v>9</v>
      </c>
      <c r="M120" s="2"/>
      <c r="N120" s="2" t="s">
        <v>8</v>
      </c>
      <c r="O120" s="4"/>
      <c r="P120" s="5" t="s">
        <v>10</v>
      </c>
      <c r="S120" s="6"/>
      <c r="T120" s="6"/>
      <c r="U120" s="6"/>
      <c r="V120" s="6"/>
      <c r="W120" s="6"/>
      <c r="AA120" s="6"/>
      <c r="AB120" s="6"/>
    </row>
    <row r="121" spans="1:28" ht="14.25" customHeight="1" x14ac:dyDescent="0.3">
      <c r="A121" s="6"/>
      <c r="B121" s="12"/>
      <c r="C121" s="6"/>
      <c r="D121" s="6"/>
      <c r="E121" s="13"/>
      <c r="G121" s="14"/>
      <c r="H121" s="15"/>
      <c r="I121" s="16"/>
      <c r="J121" s="16"/>
      <c r="L121" s="12"/>
      <c r="M121" s="6"/>
      <c r="N121" s="6"/>
      <c r="P121" s="13"/>
      <c r="S121" s="6"/>
      <c r="T121" s="6"/>
      <c r="U121" s="6"/>
      <c r="V121" s="6"/>
      <c r="W121" s="6"/>
      <c r="AA121" s="6"/>
      <c r="AB121" s="6"/>
    </row>
    <row r="122" spans="1:28" ht="14.25" customHeight="1" x14ac:dyDescent="0.3">
      <c r="A122" s="6">
        <v>1</v>
      </c>
      <c r="B122" s="252"/>
      <c r="C122" s="253"/>
      <c r="D122" s="253"/>
      <c r="E122" s="254">
        <v>200</v>
      </c>
      <c r="G122" s="257">
        <v>1.25</v>
      </c>
      <c r="H122" s="18">
        <f t="shared" ref="H122:H123" si="195">MAX(B122:D122)*G122</f>
        <v>0</v>
      </c>
      <c r="I122" s="19">
        <f t="shared" ref="I122:I123" si="196">E122*G122</f>
        <v>250</v>
      </c>
      <c r="J122" s="19">
        <f t="shared" ref="J122:J123" si="197">IF((H122+I122=0),"-",((MAX(B122:D122)*1.732)+E122)*G122)</f>
        <v>250</v>
      </c>
      <c r="L122" s="17">
        <f t="shared" ref="L122:L123" si="198">SUM(B122:D122)*0.23</f>
        <v>0</v>
      </c>
      <c r="M122" s="18"/>
      <c r="N122" s="18">
        <f t="shared" ref="N122:N123" si="199">E122*0.23*1.732</f>
        <v>79.671999999999997</v>
      </c>
      <c r="P122" s="19">
        <f t="shared" ref="P122:P123" si="200">IF(L122+N122=0,"-",L122+(E122*0.23*1.732))</f>
        <v>79.671999999999997</v>
      </c>
      <c r="S122" s="6"/>
      <c r="T122" s="6"/>
      <c r="U122" s="6"/>
      <c r="V122" s="6"/>
      <c r="W122" s="6"/>
      <c r="AA122" s="6"/>
      <c r="AB122" s="6"/>
    </row>
    <row r="123" spans="1:28" ht="14.25" customHeight="1" x14ac:dyDescent="0.3">
      <c r="A123" s="6">
        <v>2</v>
      </c>
      <c r="B123" s="252"/>
      <c r="C123" s="253"/>
      <c r="D123" s="253"/>
      <c r="E123" s="254"/>
      <c r="G123" s="257">
        <v>1.25</v>
      </c>
      <c r="H123" s="18">
        <f t="shared" si="195"/>
        <v>0</v>
      </c>
      <c r="I123" s="19">
        <f t="shared" si="196"/>
        <v>0</v>
      </c>
      <c r="J123" s="19" t="str">
        <f t="shared" si="197"/>
        <v>-</v>
      </c>
      <c r="L123" s="17">
        <f t="shared" si="198"/>
        <v>0</v>
      </c>
      <c r="M123" s="18"/>
      <c r="N123" s="18">
        <f t="shared" si="199"/>
        <v>0</v>
      </c>
      <c r="P123" s="19" t="str">
        <f t="shared" si="200"/>
        <v>-</v>
      </c>
      <c r="S123" s="6"/>
      <c r="T123" s="6"/>
      <c r="U123" s="6"/>
      <c r="V123" s="6"/>
      <c r="W123" s="6"/>
      <c r="AA123" s="6"/>
      <c r="AB123" s="6"/>
    </row>
    <row r="124" spans="1:28" ht="14.25" customHeight="1" x14ac:dyDescent="0.3">
      <c r="A124" s="6"/>
      <c r="B124" s="255"/>
      <c r="C124" s="256"/>
      <c r="D124" s="256"/>
      <c r="E124" s="254"/>
      <c r="G124" s="258"/>
      <c r="H124" s="22"/>
      <c r="I124" s="24"/>
      <c r="J124" s="24"/>
      <c r="L124" s="25"/>
      <c r="M124" s="26"/>
      <c r="N124" s="26"/>
      <c r="O124" s="27"/>
      <c r="P124" s="28"/>
      <c r="R124" s="29"/>
      <c r="S124" s="8" t="s">
        <v>9</v>
      </c>
      <c r="T124" s="8"/>
      <c r="U124" s="8"/>
      <c r="V124" s="8"/>
      <c r="W124" s="9" t="s">
        <v>8</v>
      </c>
      <c r="Y124" s="30" t="s">
        <v>11</v>
      </c>
      <c r="Z124" s="15"/>
      <c r="AA124" s="15"/>
      <c r="AB124" s="16"/>
    </row>
    <row r="125" spans="1:28" ht="14.25" customHeight="1" x14ac:dyDescent="0.3">
      <c r="A125" s="6">
        <v>3</v>
      </c>
      <c r="B125" s="252"/>
      <c r="C125" s="253"/>
      <c r="D125" s="253"/>
      <c r="E125" s="254"/>
      <c r="G125" s="257">
        <v>1.25</v>
      </c>
      <c r="H125" s="18">
        <f t="shared" ref="H125:H126" si="201">MAX(B125:D125)*G125</f>
        <v>0</v>
      </c>
      <c r="I125" s="19">
        <f t="shared" ref="I125:I126" si="202">E125*G125</f>
        <v>0</v>
      </c>
      <c r="J125" s="19" t="str">
        <f t="shared" ref="J125:J126" si="203">IF((H125+I125=0),"-",((MAX(B125:D125)*1.732)+E125)*G125)</f>
        <v>-</v>
      </c>
      <c r="L125" s="17">
        <f t="shared" ref="L125:L126" si="204">SUM(B125:D125)*0.23</f>
        <v>0</v>
      </c>
      <c r="M125" s="18"/>
      <c r="N125" s="18">
        <f t="shared" ref="N125:N126" si="205">E125*0.23*1.732</f>
        <v>0</v>
      </c>
      <c r="P125" s="19" t="str">
        <f t="shared" ref="P125:P126" si="206">IF(L125+N125=0,"-",L125+(E125*0.23*1.732))</f>
        <v>-</v>
      </c>
      <c r="R125" s="31"/>
      <c r="S125" s="32"/>
      <c r="T125" s="15"/>
      <c r="U125" s="15"/>
      <c r="V125" s="15"/>
      <c r="W125" s="16"/>
      <c r="Y125" s="31"/>
      <c r="Z125" s="259">
        <v>0.8</v>
      </c>
      <c r="AB125" s="19">
        <f t="shared" ref="AB125:AB131" si="207">$S$130*Z125</f>
        <v>63.7376</v>
      </c>
    </row>
    <row r="126" spans="1:28" ht="14.25" customHeight="1" x14ac:dyDescent="0.3">
      <c r="A126" s="6">
        <v>4</v>
      </c>
      <c r="B126" s="252"/>
      <c r="C126" s="253"/>
      <c r="D126" s="253"/>
      <c r="E126" s="254"/>
      <c r="G126" s="257">
        <v>1.25</v>
      </c>
      <c r="H126" s="18">
        <f t="shared" si="201"/>
        <v>0</v>
      </c>
      <c r="I126" s="19">
        <f t="shared" si="202"/>
        <v>0</v>
      </c>
      <c r="J126" s="19" t="str">
        <f t="shared" si="203"/>
        <v>-</v>
      </c>
      <c r="L126" s="17">
        <f t="shared" si="204"/>
        <v>0</v>
      </c>
      <c r="M126" s="18"/>
      <c r="N126" s="18">
        <f t="shared" si="205"/>
        <v>0</v>
      </c>
      <c r="P126" s="19" t="str">
        <f t="shared" si="206"/>
        <v>-</v>
      </c>
      <c r="R126" s="33" t="s">
        <v>12</v>
      </c>
      <c r="S126" s="17">
        <f t="shared" ref="S126:U126" si="208">B170*0.23</f>
        <v>0</v>
      </c>
      <c r="T126" s="18">
        <f t="shared" si="208"/>
        <v>0</v>
      </c>
      <c r="U126" s="18">
        <f t="shared" si="208"/>
        <v>0</v>
      </c>
      <c r="V126" s="18"/>
      <c r="W126" s="19">
        <f>E170*0.23*1.732</f>
        <v>79.671999999999997</v>
      </c>
      <c r="Y126" s="31"/>
      <c r="Z126" s="259">
        <v>0.7</v>
      </c>
      <c r="AB126" s="19">
        <f t="shared" si="207"/>
        <v>55.770399999999995</v>
      </c>
    </row>
    <row r="127" spans="1:28" ht="14.25" customHeight="1" x14ac:dyDescent="0.3">
      <c r="A127" s="6"/>
      <c r="B127" s="255"/>
      <c r="C127" s="256"/>
      <c r="D127" s="256"/>
      <c r="E127" s="254"/>
      <c r="G127" s="258"/>
      <c r="H127" s="22"/>
      <c r="I127" s="24"/>
      <c r="J127" s="24"/>
      <c r="L127" s="25"/>
      <c r="M127" s="26"/>
      <c r="N127" s="26"/>
      <c r="O127" s="27"/>
      <c r="P127" s="28"/>
      <c r="R127" s="12"/>
      <c r="S127" s="12"/>
      <c r="T127" s="6"/>
      <c r="U127" s="6"/>
      <c r="V127" s="6"/>
      <c r="W127" s="13"/>
      <c r="Y127" s="31"/>
      <c r="Z127" s="259">
        <v>0.6</v>
      </c>
      <c r="AB127" s="19">
        <f t="shared" si="207"/>
        <v>47.803199999999997</v>
      </c>
    </row>
    <row r="128" spans="1:28" ht="14.25" customHeight="1" x14ac:dyDescent="0.3">
      <c r="A128" s="6">
        <v>5</v>
      </c>
      <c r="B128" s="252"/>
      <c r="C128" s="253"/>
      <c r="D128" s="253"/>
      <c r="E128" s="254"/>
      <c r="G128" s="257">
        <v>1.25</v>
      </c>
      <c r="H128" s="18">
        <f t="shared" ref="H128:H129" si="209">MAX(B128:D128)*G128</f>
        <v>0</v>
      </c>
      <c r="I128" s="19">
        <f t="shared" ref="I128:I129" si="210">E128*G128</f>
        <v>0</v>
      </c>
      <c r="J128" s="19" t="str">
        <f t="shared" ref="J128:J129" si="211">IF((H128+I128=0),"-",((MAX(B128:D128)*1.732)+E128)*G128)</f>
        <v>-</v>
      </c>
      <c r="L128" s="17">
        <f t="shared" ref="L128:L129" si="212">SUM(B128:D128)*0.23</f>
        <v>0</v>
      </c>
      <c r="M128" s="18"/>
      <c r="N128" s="18">
        <f t="shared" ref="N128:N129" si="213">E128*0.23*1.732</f>
        <v>0</v>
      </c>
      <c r="P128" s="19" t="str">
        <f t="shared" ref="P128:P129" si="214">IF(L128+N128=0,"-",L128+(E128*0.23*1.732))</f>
        <v>-</v>
      </c>
      <c r="R128" s="33" t="s">
        <v>13</v>
      </c>
      <c r="S128" s="17">
        <f>SUM(S126:U126)</f>
        <v>0</v>
      </c>
      <c r="T128" s="18"/>
      <c r="U128" s="18"/>
      <c r="V128" s="6"/>
      <c r="W128" s="19">
        <f>W126</f>
        <v>79.671999999999997</v>
      </c>
      <c r="Y128" s="31"/>
      <c r="Z128" s="259">
        <v>0.5</v>
      </c>
      <c r="AB128" s="19">
        <f t="shared" si="207"/>
        <v>39.835999999999999</v>
      </c>
    </row>
    <row r="129" spans="1:28" ht="14.25" customHeight="1" x14ac:dyDescent="0.3">
      <c r="A129" s="6">
        <v>6</v>
      </c>
      <c r="B129" s="252"/>
      <c r="C129" s="253"/>
      <c r="D129" s="253"/>
      <c r="E129" s="254"/>
      <c r="G129" s="257">
        <v>1.25</v>
      </c>
      <c r="H129" s="18">
        <f t="shared" si="209"/>
        <v>0</v>
      </c>
      <c r="I129" s="19">
        <f t="shared" si="210"/>
        <v>0</v>
      </c>
      <c r="J129" s="19" t="str">
        <f t="shared" si="211"/>
        <v>-</v>
      </c>
      <c r="L129" s="17">
        <f t="shared" si="212"/>
        <v>0</v>
      </c>
      <c r="M129" s="18"/>
      <c r="N129" s="18">
        <f t="shared" si="213"/>
        <v>0</v>
      </c>
      <c r="P129" s="19" t="str">
        <f t="shared" si="214"/>
        <v>-</v>
      </c>
      <c r="R129" s="12"/>
      <c r="S129" s="12"/>
      <c r="T129" s="6"/>
      <c r="U129" s="6"/>
      <c r="V129" s="6"/>
      <c r="W129" s="13"/>
      <c r="Y129" s="31"/>
      <c r="Z129" s="259">
        <v>0.4</v>
      </c>
      <c r="AB129" s="19">
        <f t="shared" si="207"/>
        <v>31.8688</v>
      </c>
    </row>
    <row r="130" spans="1:28" ht="14.25" customHeight="1" x14ac:dyDescent="0.3">
      <c r="A130" s="6"/>
      <c r="B130" s="255"/>
      <c r="C130" s="256"/>
      <c r="D130" s="256"/>
      <c r="E130" s="254"/>
      <c r="G130" s="258"/>
      <c r="H130" s="22"/>
      <c r="I130" s="24"/>
      <c r="J130" s="24"/>
      <c r="L130" s="25"/>
      <c r="M130" s="26"/>
      <c r="N130" s="26"/>
      <c r="O130" s="27"/>
      <c r="P130" s="28"/>
      <c r="R130" s="34" t="s">
        <v>14</v>
      </c>
      <c r="S130" s="49">
        <f>SUM(S126:U126) +W126</f>
        <v>79.671999999999997</v>
      </c>
      <c r="T130" s="36"/>
      <c r="U130" s="36"/>
      <c r="V130" s="36"/>
      <c r="W130" s="37"/>
      <c r="Y130" s="31"/>
      <c r="Z130" s="259">
        <v>0.28999999999999998</v>
      </c>
      <c r="AB130" s="19">
        <f t="shared" si="207"/>
        <v>23.104879999999998</v>
      </c>
    </row>
    <row r="131" spans="1:28" ht="14.25" customHeight="1" x14ac:dyDescent="0.3">
      <c r="A131" s="6">
        <v>7</v>
      </c>
      <c r="B131" s="252"/>
      <c r="C131" s="253"/>
      <c r="D131" s="253"/>
      <c r="E131" s="254"/>
      <c r="G131" s="257">
        <v>1.25</v>
      </c>
      <c r="H131" s="18">
        <f t="shared" ref="H131:H132" si="215">MAX(B131:D131)*G131</f>
        <v>0</v>
      </c>
      <c r="I131" s="19">
        <f t="shared" ref="I131:I132" si="216">E131*G131</f>
        <v>0</v>
      </c>
      <c r="J131" s="19" t="str">
        <f t="shared" ref="J131:J132" si="217">IF((H131+I131=0),"-",((MAX(B131:D131)*1.732)+E131)*G131)</f>
        <v>-</v>
      </c>
      <c r="L131" s="17">
        <f t="shared" ref="L131:L132" si="218">SUM(B131:D131)*0.23</f>
        <v>0</v>
      </c>
      <c r="M131" s="18"/>
      <c r="N131" s="18">
        <f t="shared" ref="N131:N132" si="219">E131*0.23*1.732</f>
        <v>0</v>
      </c>
      <c r="P131" s="19" t="str">
        <f t="shared" ref="P131:P132" si="220">IF(L131+N131=0,"-",L131+(E131*0.23*1.732))</f>
        <v>-</v>
      </c>
      <c r="S131" s="6"/>
      <c r="T131" s="6"/>
      <c r="U131" s="6"/>
      <c r="V131" s="6"/>
      <c r="W131" s="6"/>
      <c r="Y131" s="31"/>
      <c r="Z131" s="259">
        <v>0.2</v>
      </c>
      <c r="AB131" s="19">
        <f t="shared" si="207"/>
        <v>15.9344</v>
      </c>
    </row>
    <row r="132" spans="1:28" ht="14.25" customHeight="1" x14ac:dyDescent="0.3">
      <c r="A132" s="6">
        <v>8</v>
      </c>
      <c r="B132" s="252"/>
      <c r="C132" s="253"/>
      <c r="D132" s="253"/>
      <c r="E132" s="254"/>
      <c r="G132" s="257">
        <v>1.25</v>
      </c>
      <c r="H132" s="18">
        <f t="shared" si="215"/>
        <v>0</v>
      </c>
      <c r="I132" s="19">
        <f t="shared" si="216"/>
        <v>0</v>
      </c>
      <c r="J132" s="19" t="str">
        <f t="shared" si="217"/>
        <v>-</v>
      </c>
      <c r="L132" s="17">
        <f t="shared" si="218"/>
        <v>0</v>
      </c>
      <c r="M132" s="18"/>
      <c r="N132" s="18">
        <f t="shared" si="219"/>
        <v>0</v>
      </c>
      <c r="P132" s="19" t="str">
        <f t="shared" si="220"/>
        <v>-</v>
      </c>
      <c r="S132" s="6"/>
      <c r="T132" s="6"/>
      <c r="U132" s="6"/>
      <c r="V132" s="6"/>
      <c r="W132" s="6"/>
      <c r="Y132" s="31"/>
      <c r="Z132" s="6"/>
      <c r="AA132" s="6"/>
      <c r="AB132" s="13"/>
    </row>
    <row r="133" spans="1:28" ht="14.25" customHeight="1" x14ac:dyDescent="0.3">
      <c r="A133" s="6"/>
      <c r="B133" s="255"/>
      <c r="C133" s="256"/>
      <c r="D133" s="256"/>
      <c r="E133" s="254"/>
      <c r="G133" s="258"/>
      <c r="H133" s="22"/>
      <c r="I133" s="24"/>
      <c r="J133" s="24"/>
      <c r="L133" s="25"/>
      <c r="M133" s="26"/>
      <c r="N133" s="26"/>
      <c r="O133" s="27"/>
      <c r="P133" s="28"/>
      <c r="S133" s="6"/>
      <c r="T133" s="6"/>
      <c r="U133" s="6"/>
      <c r="V133" s="6"/>
      <c r="W133" s="6"/>
      <c r="Y133" s="38" t="s">
        <v>15</v>
      </c>
      <c r="Z133" s="259">
        <v>0.8</v>
      </c>
      <c r="AA133" s="259"/>
      <c r="AB133" s="13">
        <f t="shared" ref="AB133:AB138" si="221">AA133*Z133</f>
        <v>0</v>
      </c>
    </row>
    <row r="134" spans="1:28" ht="14.25" customHeight="1" x14ac:dyDescent="0.3">
      <c r="A134" s="6">
        <v>9</v>
      </c>
      <c r="B134" s="252"/>
      <c r="C134" s="253"/>
      <c r="D134" s="253"/>
      <c r="E134" s="254"/>
      <c r="G134" s="257">
        <v>1.25</v>
      </c>
      <c r="H134" s="18">
        <f t="shared" ref="H134:H135" si="222">MAX(B134:D134)*G134</f>
        <v>0</v>
      </c>
      <c r="I134" s="19">
        <f t="shared" ref="I134:I135" si="223">E134*G134</f>
        <v>0</v>
      </c>
      <c r="J134" s="19" t="str">
        <f t="shared" ref="J134:J135" si="224">IF((H134+I134=0),"-",((MAX(B134:D134)*1.732)+E134)*G134)</f>
        <v>-</v>
      </c>
      <c r="L134" s="17">
        <f t="shared" ref="L134:L135" si="225">SUM(B134:D134)*0.23</f>
        <v>0</v>
      </c>
      <c r="M134" s="18"/>
      <c r="N134" s="18">
        <f t="shared" ref="N134:N135" si="226">E134*0.23*1.732</f>
        <v>0</v>
      </c>
      <c r="P134" s="19" t="str">
        <f t="shared" ref="P134:P135" si="227">IF(L134+N134=0,"-",L134+(E134*0.23*1.732))</f>
        <v>-</v>
      </c>
      <c r="S134" s="6"/>
      <c r="T134" s="6"/>
      <c r="U134" s="6"/>
      <c r="V134" s="6"/>
      <c r="W134" s="6"/>
      <c r="Y134" s="31"/>
      <c r="Z134" s="259">
        <v>0.7</v>
      </c>
      <c r="AA134" s="259"/>
      <c r="AB134" s="13">
        <f t="shared" si="221"/>
        <v>0</v>
      </c>
    </row>
    <row r="135" spans="1:28" ht="14.25" customHeight="1" x14ac:dyDescent="0.3">
      <c r="A135" s="6">
        <v>10</v>
      </c>
      <c r="B135" s="252"/>
      <c r="C135" s="253"/>
      <c r="D135" s="253"/>
      <c r="E135" s="254"/>
      <c r="G135" s="257">
        <v>1.25</v>
      </c>
      <c r="H135" s="18">
        <f t="shared" si="222"/>
        <v>0</v>
      </c>
      <c r="I135" s="19">
        <f t="shared" si="223"/>
        <v>0</v>
      </c>
      <c r="J135" s="19" t="str">
        <f t="shared" si="224"/>
        <v>-</v>
      </c>
      <c r="L135" s="17">
        <f t="shared" si="225"/>
        <v>0</v>
      </c>
      <c r="M135" s="18"/>
      <c r="N135" s="18">
        <f t="shared" si="226"/>
        <v>0</v>
      </c>
      <c r="P135" s="19" t="str">
        <f t="shared" si="227"/>
        <v>-</v>
      </c>
      <c r="R135" s="30" t="s">
        <v>16</v>
      </c>
      <c r="S135" s="15"/>
      <c r="T135" s="15"/>
      <c r="U135" s="16"/>
      <c r="V135" s="6"/>
      <c r="W135" s="6"/>
      <c r="Y135" s="31"/>
      <c r="Z135" s="259">
        <v>0.6</v>
      </c>
      <c r="AA135" s="259"/>
      <c r="AB135" s="13">
        <f t="shared" si="221"/>
        <v>0</v>
      </c>
    </row>
    <row r="136" spans="1:28" ht="14.25" customHeight="1" x14ac:dyDescent="0.3">
      <c r="A136" s="6"/>
      <c r="B136" s="255"/>
      <c r="C136" s="256"/>
      <c r="D136" s="256"/>
      <c r="E136" s="254"/>
      <c r="G136" s="258"/>
      <c r="H136" s="22"/>
      <c r="I136" s="24"/>
      <c r="J136" s="24"/>
      <c r="L136" s="25"/>
      <c r="M136" s="26"/>
      <c r="N136" s="26"/>
      <c r="O136" s="27"/>
      <c r="P136" s="28"/>
      <c r="R136" s="31"/>
      <c r="S136" s="6"/>
      <c r="T136" s="6" t="s">
        <v>9</v>
      </c>
      <c r="U136" s="13" t="s">
        <v>8</v>
      </c>
      <c r="V136" s="6"/>
      <c r="W136" s="6"/>
      <c r="Y136" s="31"/>
      <c r="Z136" s="259">
        <v>0.5</v>
      </c>
      <c r="AA136" s="259"/>
      <c r="AB136" s="13">
        <f t="shared" si="221"/>
        <v>0</v>
      </c>
    </row>
    <row r="137" spans="1:28" ht="14.25" customHeight="1" x14ac:dyDescent="0.3">
      <c r="A137" s="6">
        <v>11</v>
      </c>
      <c r="B137" s="252"/>
      <c r="C137" s="253"/>
      <c r="D137" s="253"/>
      <c r="E137" s="254"/>
      <c r="G137" s="257">
        <v>1.25</v>
      </c>
      <c r="H137" s="18">
        <f t="shared" ref="H137:H138" si="228">MAX(B137:D137)*G137</f>
        <v>0</v>
      </c>
      <c r="I137" s="19">
        <f t="shared" ref="I137:I138" si="229">E137*G137</f>
        <v>0</v>
      </c>
      <c r="J137" s="19" t="str">
        <f t="shared" ref="J137:J138" si="230">IF((H137+I137=0),"-",((MAX(B137:D137)*1.732)+E137)*G137)</f>
        <v>-</v>
      </c>
      <c r="L137" s="17">
        <f t="shared" ref="L137:L138" si="231">SUM(B137:D137)*0.23</f>
        <v>0</v>
      </c>
      <c r="M137" s="18"/>
      <c r="N137" s="18">
        <f t="shared" ref="N137:N138" si="232">E137*0.23*1.732</f>
        <v>0</v>
      </c>
      <c r="P137" s="19" t="str">
        <f t="shared" ref="P137:P138" si="233">IF(L137+N137=0,"-",L137+(E137*0.23*1.732))</f>
        <v>-</v>
      </c>
      <c r="R137" s="31"/>
      <c r="S137" s="6"/>
      <c r="T137" s="6"/>
      <c r="U137" s="13"/>
      <c r="V137" s="6"/>
      <c r="W137" s="6"/>
      <c r="Y137" s="31"/>
      <c r="Z137" s="259">
        <v>0.4</v>
      </c>
      <c r="AA137" s="259"/>
      <c r="AB137" s="13">
        <f t="shared" si="221"/>
        <v>0</v>
      </c>
    </row>
    <row r="138" spans="1:28" ht="14.25" customHeight="1" x14ac:dyDescent="0.3">
      <c r="A138" s="6">
        <v>12</v>
      </c>
      <c r="B138" s="252"/>
      <c r="C138" s="253"/>
      <c r="D138" s="253"/>
      <c r="E138" s="254"/>
      <c r="G138" s="257">
        <v>1.25</v>
      </c>
      <c r="H138" s="18">
        <f t="shared" si="228"/>
        <v>0</v>
      </c>
      <c r="I138" s="19">
        <f t="shared" si="229"/>
        <v>0</v>
      </c>
      <c r="J138" s="19" t="str">
        <f t="shared" si="230"/>
        <v>-</v>
      </c>
      <c r="L138" s="17">
        <f t="shared" si="231"/>
        <v>0</v>
      </c>
      <c r="M138" s="18"/>
      <c r="N138" s="18">
        <f t="shared" si="232"/>
        <v>0</v>
      </c>
      <c r="P138" s="19" t="str">
        <f t="shared" si="233"/>
        <v>-</v>
      </c>
      <c r="R138" s="31" t="s">
        <v>1</v>
      </c>
      <c r="S138" s="6"/>
      <c r="T138" s="18">
        <f>MAX(B170:D170)</f>
        <v>0</v>
      </c>
      <c r="U138" s="19">
        <f>E170</f>
        <v>200</v>
      </c>
      <c r="V138" s="6"/>
      <c r="W138" s="6"/>
      <c r="Y138" s="39"/>
      <c r="Z138" s="260">
        <v>0.3</v>
      </c>
      <c r="AA138" s="260"/>
      <c r="AB138" s="41">
        <f t="shared" si="221"/>
        <v>0</v>
      </c>
    </row>
    <row r="139" spans="1:28" ht="14.25" customHeight="1" x14ac:dyDescent="0.3">
      <c r="A139" s="6"/>
      <c r="B139" s="255"/>
      <c r="C139" s="256"/>
      <c r="D139" s="256"/>
      <c r="E139" s="254"/>
      <c r="G139" s="258"/>
      <c r="H139" s="22"/>
      <c r="I139" s="24"/>
      <c r="J139" s="24"/>
      <c r="L139" s="25"/>
      <c r="M139" s="26"/>
      <c r="N139" s="26"/>
      <c r="O139" s="27"/>
      <c r="P139" s="28"/>
      <c r="R139" s="31"/>
      <c r="S139" s="6"/>
      <c r="T139" s="6"/>
      <c r="U139" s="13"/>
      <c r="V139" s="6"/>
      <c r="W139" s="6"/>
      <c r="Z139" s="6"/>
      <c r="AA139" s="6"/>
      <c r="AB139" s="6"/>
    </row>
    <row r="140" spans="1:28" ht="14.25" customHeight="1" x14ac:dyDescent="0.3">
      <c r="A140" s="6">
        <v>13</v>
      </c>
      <c r="B140" s="252"/>
      <c r="C140" s="253"/>
      <c r="D140" s="253"/>
      <c r="E140" s="254"/>
      <c r="G140" s="257">
        <v>1.25</v>
      </c>
      <c r="H140" s="18">
        <f t="shared" ref="H140:H141" si="234">MAX(B140:D140)*G140</f>
        <v>0</v>
      </c>
      <c r="I140" s="19">
        <f t="shared" ref="I140:I141" si="235">E140*G140</f>
        <v>0</v>
      </c>
      <c r="J140" s="19" t="str">
        <f t="shared" ref="J140:J141" si="236">IF((H140+I140=0),"-",((MAX(B140:D140)*1.732)+E140)*G140)</f>
        <v>-</v>
      </c>
      <c r="L140" s="17">
        <f t="shared" ref="L140:L141" si="237">SUM(B140:D140)*0.23</f>
        <v>0</v>
      </c>
      <c r="M140" s="18"/>
      <c r="N140" s="18">
        <f t="shared" ref="N140:N141" si="238">E140*0.23*1.732</f>
        <v>0</v>
      </c>
      <c r="P140" s="19" t="str">
        <f t="shared" ref="P140:P141" si="239">IF(L140+N140=0,"-",L140+(E140*0.23*1.732))</f>
        <v>-</v>
      </c>
      <c r="R140" s="31" t="s">
        <v>17</v>
      </c>
      <c r="S140" s="6"/>
      <c r="T140" s="18">
        <f>(T138*1.732)+U138</f>
        <v>200</v>
      </c>
      <c r="U140" s="13"/>
      <c r="V140" s="6"/>
      <c r="W140" s="6"/>
      <c r="Z140" s="6"/>
      <c r="AA140" s="6"/>
      <c r="AB140" s="6"/>
    </row>
    <row r="141" spans="1:28" ht="14.25" customHeight="1" x14ac:dyDescent="0.3">
      <c r="A141" s="6">
        <v>14</v>
      </c>
      <c r="B141" s="252"/>
      <c r="C141" s="253"/>
      <c r="D141" s="253"/>
      <c r="E141" s="254"/>
      <c r="G141" s="257">
        <v>1.25</v>
      </c>
      <c r="H141" s="18">
        <f t="shared" si="234"/>
        <v>0</v>
      </c>
      <c r="I141" s="19">
        <f t="shared" si="235"/>
        <v>0</v>
      </c>
      <c r="J141" s="19" t="str">
        <f t="shared" si="236"/>
        <v>-</v>
      </c>
      <c r="L141" s="17">
        <f t="shared" si="237"/>
        <v>0</v>
      </c>
      <c r="M141" s="18"/>
      <c r="N141" s="18">
        <f t="shared" si="238"/>
        <v>0</v>
      </c>
      <c r="P141" s="19" t="str">
        <f t="shared" si="239"/>
        <v>-</v>
      </c>
      <c r="R141" s="31"/>
      <c r="S141" s="6"/>
      <c r="T141" s="6"/>
      <c r="U141" s="13"/>
      <c r="V141" s="6"/>
      <c r="W141" s="6"/>
      <c r="Z141" s="6"/>
      <c r="AA141" s="6"/>
      <c r="AB141" s="6"/>
    </row>
    <row r="142" spans="1:28" ht="14.25" customHeight="1" x14ac:dyDescent="0.3">
      <c r="A142" s="6"/>
      <c r="B142" s="255"/>
      <c r="C142" s="256"/>
      <c r="D142" s="256"/>
      <c r="E142" s="254"/>
      <c r="G142" s="258"/>
      <c r="H142" s="22"/>
      <c r="I142" s="24"/>
      <c r="J142" s="24"/>
      <c r="L142" s="25"/>
      <c r="M142" s="26"/>
      <c r="N142" s="26"/>
      <c r="O142" s="27"/>
      <c r="P142" s="28"/>
      <c r="R142" s="39" t="s">
        <v>18</v>
      </c>
      <c r="S142" s="40"/>
      <c r="T142" s="50">
        <f>T140*1.25</f>
        <v>250</v>
      </c>
      <c r="U142" s="41"/>
      <c r="V142" s="6"/>
      <c r="W142" s="6"/>
      <c r="Y142" s="30" t="s">
        <v>19</v>
      </c>
      <c r="Z142" s="15"/>
      <c r="AA142" s="15"/>
      <c r="AB142" s="16"/>
    </row>
    <row r="143" spans="1:28" ht="14.25" customHeight="1" x14ac:dyDescent="0.3">
      <c r="A143" s="6">
        <v>15</v>
      </c>
      <c r="B143" s="252"/>
      <c r="C143" s="253"/>
      <c r="D143" s="253"/>
      <c r="E143" s="254"/>
      <c r="G143" s="257">
        <v>1.25</v>
      </c>
      <c r="H143" s="18">
        <f t="shared" ref="H143:H144" si="240">MAX(B143:D143)*G143</f>
        <v>0</v>
      </c>
      <c r="I143" s="19">
        <f t="shared" ref="I143:I144" si="241">E143*G143</f>
        <v>0</v>
      </c>
      <c r="J143" s="19" t="str">
        <f t="shared" ref="J143:J144" si="242">IF((H143+I143=0),"-",((MAX(B143:D143)*1.732)+E143)*G143)</f>
        <v>-</v>
      </c>
      <c r="L143" s="17">
        <f t="shared" ref="L143:L144" si="243">SUM(B143:D143)*0.23</f>
        <v>0</v>
      </c>
      <c r="M143" s="18"/>
      <c r="N143" s="18">
        <f t="shared" ref="N143:N144" si="244">E143*0.23*1.732</f>
        <v>0</v>
      </c>
      <c r="P143" s="19" t="str">
        <f t="shared" ref="P143:P144" si="245">IF(L143+N143=0,"-",L143+(E143*0.23*1.732))</f>
        <v>-</v>
      </c>
      <c r="S143" s="6"/>
      <c r="T143" s="6"/>
      <c r="U143" s="6"/>
      <c r="V143" s="6"/>
      <c r="W143" s="6"/>
      <c r="Y143" s="31"/>
      <c r="Z143" s="259">
        <v>0.8</v>
      </c>
      <c r="AB143" s="19">
        <f t="shared" ref="AB143:AB149" si="246">$T$142*Z143</f>
        <v>200</v>
      </c>
    </row>
    <row r="144" spans="1:28" ht="14.25" customHeight="1" x14ac:dyDescent="0.3">
      <c r="A144" s="6">
        <v>16</v>
      </c>
      <c r="B144" s="252"/>
      <c r="C144" s="253"/>
      <c r="D144" s="253"/>
      <c r="E144" s="254"/>
      <c r="G144" s="257">
        <v>1.25</v>
      </c>
      <c r="H144" s="18">
        <f t="shared" si="240"/>
        <v>0</v>
      </c>
      <c r="I144" s="19">
        <f t="shared" si="241"/>
        <v>0</v>
      </c>
      <c r="J144" s="19" t="str">
        <f t="shared" si="242"/>
        <v>-</v>
      </c>
      <c r="L144" s="17">
        <f t="shared" si="243"/>
        <v>0</v>
      </c>
      <c r="M144" s="18"/>
      <c r="N144" s="18">
        <f t="shared" si="244"/>
        <v>0</v>
      </c>
      <c r="P144" s="19" t="str">
        <f t="shared" si="245"/>
        <v>-</v>
      </c>
      <c r="S144" s="6"/>
      <c r="T144" s="6"/>
      <c r="U144" s="6"/>
      <c r="V144" s="6"/>
      <c r="W144" s="6"/>
      <c r="Y144" s="31"/>
      <c r="Z144" s="259">
        <v>0.7</v>
      </c>
      <c r="AB144" s="19">
        <f t="shared" si="246"/>
        <v>175</v>
      </c>
    </row>
    <row r="145" spans="1:28" ht="14.25" customHeight="1" x14ac:dyDescent="0.3">
      <c r="A145" s="6"/>
      <c r="B145" s="255"/>
      <c r="C145" s="256"/>
      <c r="D145" s="256"/>
      <c r="E145" s="254"/>
      <c r="G145" s="258"/>
      <c r="H145" s="22"/>
      <c r="I145" s="24"/>
      <c r="J145" s="24"/>
      <c r="L145" s="25"/>
      <c r="M145" s="26"/>
      <c r="N145" s="26"/>
      <c r="O145" s="27"/>
      <c r="P145" s="28"/>
      <c r="S145" s="6"/>
      <c r="T145" s="6"/>
      <c r="U145" s="6"/>
      <c r="V145" s="6"/>
      <c r="W145" s="6"/>
      <c r="Y145" s="31"/>
      <c r="Z145" s="259">
        <v>0.6</v>
      </c>
      <c r="AB145" s="19">
        <f t="shared" si="246"/>
        <v>150</v>
      </c>
    </row>
    <row r="146" spans="1:28" ht="14.25" customHeight="1" x14ac:dyDescent="0.3">
      <c r="A146" s="6">
        <v>17</v>
      </c>
      <c r="B146" s="252"/>
      <c r="C146" s="253"/>
      <c r="D146" s="253"/>
      <c r="E146" s="254"/>
      <c r="G146" s="257">
        <v>1.25</v>
      </c>
      <c r="H146" s="18">
        <f t="shared" ref="H146:H147" si="247">MAX(B146:D146)*G146</f>
        <v>0</v>
      </c>
      <c r="I146" s="19">
        <f t="shared" ref="I146:I147" si="248">E146*G146</f>
        <v>0</v>
      </c>
      <c r="J146" s="19" t="str">
        <f t="shared" ref="J146:J147" si="249">IF((H146+I146=0),"-",((MAX(B146:D146)*1.732)+E146)*G146)</f>
        <v>-</v>
      </c>
      <c r="L146" s="17">
        <f t="shared" ref="L146:L147" si="250">SUM(B146:D146)*0.23</f>
        <v>0</v>
      </c>
      <c r="M146" s="18"/>
      <c r="N146" s="18">
        <f t="shared" ref="N146:N147" si="251">E146*0.23*1.732</f>
        <v>0</v>
      </c>
      <c r="P146" s="19" t="str">
        <f t="shared" ref="P146:P147" si="252">IF(L146+N146=0,"-",L146+(E146*0.23*1.732))</f>
        <v>-</v>
      </c>
      <c r="S146" s="6"/>
      <c r="T146" s="6"/>
      <c r="U146" s="6"/>
      <c r="V146" s="6"/>
      <c r="W146" s="6"/>
      <c r="Y146" s="31"/>
      <c r="Z146" s="259">
        <v>0.43</v>
      </c>
      <c r="AB146" s="19">
        <f t="shared" si="246"/>
        <v>107.5</v>
      </c>
    </row>
    <row r="147" spans="1:28" ht="14.25" customHeight="1" x14ac:dyDescent="0.3">
      <c r="A147" s="6">
        <v>18</v>
      </c>
      <c r="B147" s="252"/>
      <c r="C147" s="253"/>
      <c r="D147" s="253"/>
      <c r="E147" s="254"/>
      <c r="G147" s="257">
        <v>1.25</v>
      </c>
      <c r="H147" s="18">
        <f t="shared" si="247"/>
        <v>0</v>
      </c>
      <c r="I147" s="19">
        <f t="shared" si="248"/>
        <v>0</v>
      </c>
      <c r="J147" s="19" t="str">
        <f t="shared" si="249"/>
        <v>-</v>
      </c>
      <c r="L147" s="17">
        <f t="shared" si="250"/>
        <v>0</v>
      </c>
      <c r="M147" s="18"/>
      <c r="N147" s="18">
        <f t="shared" si="251"/>
        <v>0</v>
      </c>
      <c r="P147" s="19" t="str">
        <f t="shared" si="252"/>
        <v>-</v>
      </c>
      <c r="R147" s="30" t="s">
        <v>20</v>
      </c>
      <c r="S147" s="15"/>
      <c r="T147" s="15"/>
      <c r="U147" s="16"/>
      <c r="V147" s="6"/>
      <c r="W147" s="6"/>
      <c r="Y147" s="31"/>
      <c r="Z147" s="259">
        <v>0.2</v>
      </c>
      <c r="AB147" s="19">
        <f t="shared" si="246"/>
        <v>50</v>
      </c>
    </row>
    <row r="148" spans="1:28" ht="14.25" customHeight="1" x14ac:dyDescent="0.3">
      <c r="A148" s="6"/>
      <c r="B148" s="255"/>
      <c r="C148" s="256"/>
      <c r="D148" s="256"/>
      <c r="E148" s="254"/>
      <c r="G148" s="258"/>
      <c r="H148" s="22"/>
      <c r="I148" s="24"/>
      <c r="J148" s="24"/>
      <c r="L148" s="25"/>
      <c r="M148" s="26"/>
      <c r="N148" s="26"/>
      <c r="O148" s="27"/>
      <c r="P148" s="28"/>
      <c r="R148" s="31"/>
      <c r="S148" s="6" t="s">
        <v>21</v>
      </c>
      <c r="T148" s="6" t="s">
        <v>22</v>
      </c>
      <c r="U148" s="13" t="s">
        <v>23</v>
      </c>
      <c r="V148" s="6"/>
      <c r="W148" s="6"/>
      <c r="Y148" s="31"/>
      <c r="Z148" s="259">
        <v>0.25</v>
      </c>
      <c r="AB148" s="19">
        <f t="shared" si="246"/>
        <v>62.5</v>
      </c>
    </row>
    <row r="149" spans="1:28" ht="14.25" customHeight="1" x14ac:dyDescent="0.3">
      <c r="A149" s="6">
        <v>19</v>
      </c>
      <c r="B149" s="252"/>
      <c r="C149" s="253"/>
      <c r="D149" s="253"/>
      <c r="E149" s="254"/>
      <c r="G149" s="257">
        <v>1.25</v>
      </c>
      <c r="H149" s="18">
        <f t="shared" ref="H149:H150" si="253">MAX(B149:D149)*G149</f>
        <v>0</v>
      </c>
      <c r="I149" s="19">
        <f t="shared" ref="I149:I150" si="254">E149*G149</f>
        <v>0</v>
      </c>
      <c r="J149" s="19" t="str">
        <f t="shared" ref="J149:J150" si="255">IF((H149+I149=0),"-",((MAX(B149:D149)*1.732)+E149)*G149)</f>
        <v>-</v>
      </c>
      <c r="L149" s="17">
        <f t="shared" ref="L149:L150" si="256">SUM(B149:D149)*0.23</f>
        <v>0</v>
      </c>
      <c r="M149" s="18"/>
      <c r="N149" s="18">
        <f t="shared" ref="N149:N150" si="257">E149*0.23*1.732</f>
        <v>0</v>
      </c>
      <c r="P149" s="19" t="str">
        <f t="shared" ref="P149:P150" si="258">IF(L149+N149=0,"-",L149+(E149*0.23*1.732))</f>
        <v>-</v>
      </c>
      <c r="R149" s="31"/>
      <c r="S149" s="6"/>
      <c r="T149" s="6"/>
      <c r="U149" s="13"/>
      <c r="V149" s="6"/>
      <c r="W149" s="6"/>
      <c r="Y149" s="31" t="s">
        <v>24</v>
      </c>
      <c r="Z149" s="259">
        <v>0.23</v>
      </c>
      <c r="AB149" s="19">
        <f t="shared" si="246"/>
        <v>57.5</v>
      </c>
    </row>
    <row r="150" spans="1:28" ht="14.25" customHeight="1" x14ac:dyDescent="0.3">
      <c r="A150" s="6">
        <v>20</v>
      </c>
      <c r="B150" s="252"/>
      <c r="C150" s="253"/>
      <c r="D150" s="253"/>
      <c r="E150" s="254"/>
      <c r="G150" s="257">
        <v>1.25</v>
      </c>
      <c r="H150" s="18">
        <f t="shared" si="253"/>
        <v>0</v>
      </c>
      <c r="I150" s="19">
        <f t="shared" si="254"/>
        <v>0</v>
      </c>
      <c r="J150" s="19" t="str">
        <f t="shared" si="255"/>
        <v>-</v>
      </c>
      <c r="L150" s="17">
        <f t="shared" si="256"/>
        <v>0</v>
      </c>
      <c r="M150" s="18"/>
      <c r="N150" s="18">
        <f t="shared" si="257"/>
        <v>0</v>
      </c>
      <c r="P150" s="19" t="str">
        <f t="shared" si="258"/>
        <v>-</v>
      </c>
      <c r="R150" s="31" t="s">
        <v>25</v>
      </c>
      <c r="S150" s="259">
        <v>1.25</v>
      </c>
      <c r="T150" s="259"/>
      <c r="U150" s="13">
        <f t="shared" ref="U150:U154" si="259">T150*S150</f>
        <v>0</v>
      </c>
      <c r="V150" s="6"/>
      <c r="W150" s="6"/>
      <c r="Y150" s="31"/>
      <c r="Z150" s="6"/>
      <c r="AA150" s="6"/>
      <c r="AB150" s="13"/>
    </row>
    <row r="151" spans="1:28" ht="14.25" customHeight="1" x14ac:dyDescent="0.3">
      <c r="A151" s="6"/>
      <c r="B151" s="255"/>
      <c r="C151" s="256"/>
      <c r="D151" s="256"/>
      <c r="E151" s="254"/>
      <c r="G151" s="258"/>
      <c r="H151" s="22"/>
      <c r="I151" s="24"/>
      <c r="J151" s="24"/>
      <c r="L151" s="25"/>
      <c r="M151" s="26"/>
      <c r="N151" s="26"/>
      <c r="O151" s="27"/>
      <c r="P151" s="28"/>
      <c r="R151" s="31" t="s">
        <v>26</v>
      </c>
      <c r="S151" s="259">
        <v>2.25</v>
      </c>
      <c r="T151" s="259"/>
      <c r="U151" s="13">
        <f t="shared" si="259"/>
        <v>0</v>
      </c>
      <c r="V151" s="6"/>
      <c r="W151" s="6"/>
      <c r="Y151" s="38" t="s">
        <v>15</v>
      </c>
      <c r="Z151" s="259">
        <v>0.8</v>
      </c>
      <c r="AA151" s="259"/>
      <c r="AB151" s="13">
        <f t="shared" ref="AB151:AB156" si="260">AA151*Z151*1.25</f>
        <v>0</v>
      </c>
    </row>
    <row r="152" spans="1:28" ht="14.25" customHeight="1" x14ac:dyDescent="0.3">
      <c r="A152" s="6">
        <v>21</v>
      </c>
      <c r="B152" s="252"/>
      <c r="C152" s="253"/>
      <c r="D152" s="253"/>
      <c r="E152" s="254"/>
      <c r="G152" s="257">
        <v>1.25</v>
      </c>
      <c r="H152" s="18">
        <f t="shared" ref="H152:H153" si="261">MAX(B152:D152)*G152</f>
        <v>0</v>
      </c>
      <c r="I152" s="19">
        <f t="shared" ref="I152:I153" si="262">E152*G152</f>
        <v>0</v>
      </c>
      <c r="J152" s="19" t="str">
        <f t="shared" ref="J152:J153" si="263">IF((H152+I152=0),"-",((MAX(B152:D152)*1.732)+E152)*G152)</f>
        <v>-</v>
      </c>
      <c r="L152" s="17">
        <f t="shared" ref="L152:L153" si="264">SUM(B152:D152)*0.23</f>
        <v>0</v>
      </c>
      <c r="M152" s="18"/>
      <c r="N152" s="18">
        <f t="shared" ref="N152:N153" si="265">E152*0.23*1.732</f>
        <v>0</v>
      </c>
      <c r="P152" s="19" t="str">
        <f t="shared" ref="P152:P153" si="266">IF(L152+N152=0,"-",L152+(E152*0.23*1.732))</f>
        <v>-</v>
      </c>
      <c r="R152" s="31" t="s">
        <v>27</v>
      </c>
      <c r="S152" s="259">
        <v>1.5</v>
      </c>
      <c r="T152" s="259"/>
      <c r="U152" s="13">
        <f t="shared" si="259"/>
        <v>0</v>
      </c>
      <c r="V152" s="6"/>
      <c r="W152" s="6"/>
      <c r="Y152" s="31"/>
      <c r="Z152" s="259">
        <v>0.7</v>
      </c>
      <c r="AA152" s="259"/>
      <c r="AB152" s="13">
        <f t="shared" si="260"/>
        <v>0</v>
      </c>
    </row>
    <row r="153" spans="1:28" ht="14.25" customHeight="1" x14ac:dyDescent="0.3">
      <c r="A153" s="6">
        <v>22</v>
      </c>
      <c r="B153" s="252"/>
      <c r="C153" s="253"/>
      <c r="D153" s="253"/>
      <c r="E153" s="254"/>
      <c r="G153" s="257">
        <v>1.25</v>
      </c>
      <c r="H153" s="18">
        <f t="shared" si="261"/>
        <v>0</v>
      </c>
      <c r="I153" s="19">
        <f t="shared" si="262"/>
        <v>0</v>
      </c>
      <c r="J153" s="19" t="str">
        <f t="shared" si="263"/>
        <v>-</v>
      </c>
      <c r="L153" s="17">
        <f t="shared" si="264"/>
        <v>0</v>
      </c>
      <c r="M153" s="18"/>
      <c r="N153" s="18">
        <f t="shared" si="265"/>
        <v>0</v>
      </c>
      <c r="P153" s="19" t="str">
        <f t="shared" si="266"/>
        <v>-</v>
      </c>
      <c r="R153" s="31" t="s">
        <v>28</v>
      </c>
      <c r="S153" s="259">
        <v>1.4</v>
      </c>
      <c r="T153" s="259"/>
      <c r="U153" s="13">
        <f t="shared" si="259"/>
        <v>0</v>
      </c>
      <c r="V153" s="6"/>
      <c r="W153" s="6"/>
      <c r="Y153" s="31"/>
      <c r="Z153" s="259">
        <v>0.6</v>
      </c>
      <c r="AA153" s="259"/>
      <c r="AB153" s="13">
        <f t="shared" si="260"/>
        <v>0</v>
      </c>
    </row>
    <row r="154" spans="1:28" ht="14.25" customHeight="1" x14ac:dyDescent="0.3">
      <c r="A154" s="6"/>
      <c r="B154" s="255"/>
      <c r="C154" s="256"/>
      <c r="D154" s="256"/>
      <c r="E154" s="254"/>
      <c r="G154" s="258"/>
      <c r="H154" s="22"/>
      <c r="I154" s="24"/>
      <c r="J154" s="24"/>
      <c r="L154" s="25"/>
      <c r="M154" s="26"/>
      <c r="N154" s="26"/>
      <c r="O154" s="27"/>
      <c r="P154" s="28"/>
      <c r="R154" s="39" t="s">
        <v>29</v>
      </c>
      <c r="S154" s="260">
        <v>2.5</v>
      </c>
      <c r="T154" s="260"/>
      <c r="U154" s="41">
        <f t="shared" si="259"/>
        <v>0</v>
      </c>
      <c r="V154" s="6"/>
      <c r="W154" s="6"/>
      <c r="Y154" s="31"/>
      <c r="Z154" s="259">
        <v>0.5</v>
      </c>
      <c r="AA154" s="259"/>
      <c r="AB154" s="13">
        <f t="shared" si="260"/>
        <v>0</v>
      </c>
    </row>
    <row r="155" spans="1:28" ht="14.25" customHeight="1" x14ac:dyDescent="0.3">
      <c r="A155" s="6">
        <v>23</v>
      </c>
      <c r="B155" s="252"/>
      <c r="C155" s="253"/>
      <c r="D155" s="253"/>
      <c r="E155" s="254"/>
      <c r="G155" s="257">
        <v>1.25</v>
      </c>
      <c r="H155" s="18">
        <f t="shared" ref="H155:H156" si="267">MAX(B155:D155)*G155</f>
        <v>0</v>
      </c>
      <c r="I155" s="19">
        <f t="shared" ref="I155:I156" si="268">E155*G155</f>
        <v>0</v>
      </c>
      <c r="J155" s="19" t="str">
        <f t="shared" ref="J155:J156" si="269">IF((H155+I155=0),"-",((MAX(B155:D155)*1.732)+E155)*G155)</f>
        <v>-</v>
      </c>
      <c r="L155" s="17">
        <f t="shared" ref="L155:L156" si="270">SUM(B155:D155)*0.23</f>
        <v>0</v>
      </c>
      <c r="M155" s="18"/>
      <c r="N155" s="18">
        <f t="shared" ref="N155:N156" si="271">E155*0.23*1.732</f>
        <v>0</v>
      </c>
      <c r="P155" s="19" t="str">
        <f t="shared" ref="P155:P156" si="272">IF(L155+N155=0,"-",L155+(E155*0.23*1.732))</f>
        <v>-</v>
      </c>
      <c r="S155" s="6"/>
      <c r="T155" s="6"/>
      <c r="U155" s="6"/>
      <c r="V155" s="6"/>
      <c r="W155" s="6"/>
      <c r="Y155" s="31"/>
      <c r="Z155" s="259">
        <v>0.4</v>
      </c>
      <c r="AA155" s="259"/>
      <c r="AB155" s="13">
        <f t="shared" si="260"/>
        <v>0</v>
      </c>
    </row>
    <row r="156" spans="1:28" ht="14.25" customHeight="1" x14ac:dyDescent="0.3">
      <c r="A156" s="6">
        <v>24</v>
      </c>
      <c r="B156" s="252"/>
      <c r="C156" s="253"/>
      <c r="D156" s="253"/>
      <c r="E156" s="254"/>
      <c r="G156" s="257">
        <v>1.25</v>
      </c>
      <c r="H156" s="18">
        <f t="shared" si="267"/>
        <v>0</v>
      </c>
      <c r="I156" s="19">
        <f t="shared" si="268"/>
        <v>0</v>
      </c>
      <c r="J156" s="19" t="str">
        <f t="shared" si="269"/>
        <v>-</v>
      </c>
      <c r="L156" s="17">
        <f t="shared" si="270"/>
        <v>0</v>
      </c>
      <c r="M156" s="18"/>
      <c r="N156" s="18">
        <f t="shared" si="271"/>
        <v>0</v>
      </c>
      <c r="P156" s="19" t="str">
        <f t="shared" si="272"/>
        <v>-</v>
      </c>
      <c r="S156" s="6"/>
      <c r="T156" s="6"/>
      <c r="U156" s="6"/>
      <c r="V156" s="6"/>
      <c r="W156" s="6"/>
      <c r="Y156" s="39"/>
      <c r="Z156" s="260">
        <v>0.3</v>
      </c>
      <c r="AA156" s="260"/>
      <c r="AB156" s="41">
        <f t="shared" si="260"/>
        <v>0</v>
      </c>
    </row>
    <row r="157" spans="1:28" ht="14.25" customHeight="1" x14ac:dyDescent="0.3">
      <c r="A157" s="6"/>
      <c r="B157" s="255"/>
      <c r="C157" s="256"/>
      <c r="D157" s="256"/>
      <c r="E157" s="254"/>
      <c r="G157" s="258"/>
      <c r="H157" s="22"/>
      <c r="I157" s="24"/>
      <c r="J157" s="24"/>
      <c r="L157" s="25"/>
      <c r="M157" s="26"/>
      <c r="N157" s="26"/>
      <c r="O157" s="27"/>
      <c r="P157" s="28"/>
    </row>
    <row r="158" spans="1:28" ht="14.25" customHeight="1" x14ac:dyDescent="0.3">
      <c r="A158" s="6">
        <v>25</v>
      </c>
      <c r="B158" s="252"/>
      <c r="C158" s="253"/>
      <c r="D158" s="253"/>
      <c r="E158" s="254"/>
      <c r="G158" s="257">
        <v>1.25</v>
      </c>
      <c r="H158" s="18">
        <f t="shared" ref="H158:H159" si="273">MAX(B158:D158)*G158</f>
        <v>0</v>
      </c>
      <c r="I158" s="19">
        <f t="shared" ref="I158:I159" si="274">E158*G158</f>
        <v>0</v>
      </c>
      <c r="J158" s="19" t="str">
        <f t="shared" ref="J158:J159" si="275">IF((H158+I158=0),"-",((MAX(B158:D158)*1.732)+E158)*G158)</f>
        <v>-</v>
      </c>
      <c r="L158" s="17">
        <f t="shared" ref="L158:L159" si="276">SUM(B158:D158)*0.23</f>
        <v>0</v>
      </c>
      <c r="M158" s="18"/>
      <c r="N158" s="18">
        <f t="shared" ref="N158:N159" si="277">E158*0.23*1.732</f>
        <v>0</v>
      </c>
      <c r="P158" s="19" t="str">
        <f t="shared" ref="P158:P159" si="278">IF(L158+N158=0,"-",L158+(E158*0.23*1.732))</f>
        <v>-</v>
      </c>
    </row>
    <row r="159" spans="1:28" ht="14.25" customHeight="1" x14ac:dyDescent="0.3">
      <c r="A159" s="6">
        <v>26</v>
      </c>
      <c r="B159" s="252"/>
      <c r="C159" s="253"/>
      <c r="D159" s="253"/>
      <c r="E159" s="254"/>
      <c r="G159" s="257">
        <v>1.25</v>
      </c>
      <c r="H159" s="18">
        <f t="shared" si="273"/>
        <v>0</v>
      </c>
      <c r="I159" s="19">
        <f t="shared" si="274"/>
        <v>0</v>
      </c>
      <c r="J159" s="19" t="str">
        <f t="shared" si="275"/>
        <v>-</v>
      </c>
      <c r="L159" s="17">
        <f t="shared" si="276"/>
        <v>0</v>
      </c>
      <c r="M159" s="18"/>
      <c r="N159" s="18">
        <f t="shared" si="277"/>
        <v>0</v>
      </c>
      <c r="P159" s="19" t="str">
        <f t="shared" si="278"/>
        <v>-</v>
      </c>
    </row>
    <row r="160" spans="1:28" ht="14.25" customHeight="1" x14ac:dyDescent="0.3">
      <c r="A160" s="6"/>
      <c r="B160" s="255"/>
      <c r="C160" s="256"/>
      <c r="D160" s="256"/>
      <c r="E160" s="254"/>
      <c r="G160" s="258"/>
      <c r="H160" s="22"/>
      <c r="I160" s="24"/>
      <c r="J160" s="24"/>
      <c r="L160" s="25"/>
      <c r="M160" s="26"/>
      <c r="N160" s="26"/>
      <c r="O160" s="27"/>
      <c r="P160" s="28"/>
    </row>
    <row r="161" spans="1:26" ht="14.25" customHeight="1" x14ac:dyDescent="0.3">
      <c r="A161" s="6">
        <v>27</v>
      </c>
      <c r="B161" s="252"/>
      <c r="C161" s="253"/>
      <c r="D161" s="253"/>
      <c r="E161" s="254"/>
      <c r="G161" s="257">
        <v>1.25</v>
      </c>
      <c r="H161" s="18">
        <f t="shared" ref="H161:H162" si="279">MAX(B161:D161)*G161</f>
        <v>0</v>
      </c>
      <c r="I161" s="19">
        <f t="shared" ref="I161:I162" si="280">E161*G161</f>
        <v>0</v>
      </c>
      <c r="J161" s="19" t="str">
        <f t="shared" ref="J161:J162" si="281">IF((H161+I161=0),"-",((MAX(B161:D161)*1.732)+E161)*G161)</f>
        <v>-</v>
      </c>
      <c r="L161" s="17">
        <f t="shared" ref="L161:L162" si="282">SUM(B161:D161)*0.23</f>
        <v>0</v>
      </c>
      <c r="M161" s="18"/>
      <c r="N161" s="18">
        <f t="shared" ref="N161:N162" si="283">E161*0.23*1.732</f>
        <v>0</v>
      </c>
      <c r="P161" s="19" t="str">
        <f t="shared" ref="P161:P162" si="284">IF(L161+N161=0,"-",L161+(E161*0.23*1.732))</f>
        <v>-</v>
      </c>
    </row>
    <row r="162" spans="1:26" ht="14.25" customHeight="1" x14ac:dyDescent="0.3">
      <c r="A162" s="6">
        <v>28</v>
      </c>
      <c r="B162" s="252"/>
      <c r="C162" s="253"/>
      <c r="D162" s="253"/>
      <c r="E162" s="254"/>
      <c r="G162" s="257">
        <v>1.25</v>
      </c>
      <c r="H162" s="18">
        <f t="shared" si="279"/>
        <v>0</v>
      </c>
      <c r="I162" s="19">
        <f t="shared" si="280"/>
        <v>0</v>
      </c>
      <c r="J162" s="19" t="str">
        <f t="shared" si="281"/>
        <v>-</v>
      </c>
      <c r="L162" s="17">
        <f t="shared" si="282"/>
        <v>0</v>
      </c>
      <c r="M162" s="18"/>
      <c r="N162" s="18">
        <f t="shared" si="283"/>
        <v>0</v>
      </c>
      <c r="P162" s="19" t="str">
        <f t="shared" si="284"/>
        <v>-</v>
      </c>
    </row>
    <row r="163" spans="1:26" ht="14.25" customHeight="1" x14ac:dyDescent="0.3">
      <c r="A163" s="6"/>
      <c r="B163" s="255"/>
      <c r="C163" s="256"/>
      <c r="D163" s="256"/>
      <c r="E163" s="254"/>
      <c r="G163" s="258"/>
      <c r="H163" s="22"/>
      <c r="I163" s="24"/>
      <c r="J163" s="24"/>
      <c r="L163" s="25"/>
      <c r="M163" s="26"/>
      <c r="N163" s="26"/>
      <c r="O163" s="27"/>
      <c r="P163" s="28"/>
    </row>
    <row r="164" spans="1:26" ht="14.25" customHeight="1" x14ac:dyDescent="0.3">
      <c r="A164" s="6">
        <v>29</v>
      </c>
      <c r="B164" s="252"/>
      <c r="C164" s="253"/>
      <c r="D164" s="253"/>
      <c r="E164" s="254"/>
      <c r="G164" s="257">
        <v>1.25</v>
      </c>
      <c r="H164" s="18">
        <f t="shared" ref="H164:H165" si="285">MAX(B164:D164)*G164</f>
        <v>0</v>
      </c>
      <c r="I164" s="19">
        <f t="shared" ref="I164:I165" si="286">E164*G164</f>
        <v>0</v>
      </c>
      <c r="J164" s="19" t="str">
        <f t="shared" ref="J164:J165" si="287">IF((H164+I164=0),"-",((MAX(B164:D164)*1.732)+E164)*G164)</f>
        <v>-</v>
      </c>
      <c r="L164" s="17">
        <f t="shared" ref="L164:L165" si="288">SUM(B164:D164)*0.23</f>
        <v>0</v>
      </c>
      <c r="M164" s="18"/>
      <c r="N164" s="18">
        <f t="shared" ref="N164:N165" si="289">E164*0.23*1.732</f>
        <v>0</v>
      </c>
      <c r="P164" s="19" t="str">
        <f t="shared" ref="P164:P165" si="290">IF(L164+N164=0,"-",L164+(E164*0.23*1.732))</f>
        <v>-</v>
      </c>
    </row>
    <row r="165" spans="1:26" ht="14.25" customHeight="1" x14ac:dyDescent="0.3">
      <c r="A165" s="6">
        <v>30</v>
      </c>
      <c r="B165" s="252"/>
      <c r="C165" s="253"/>
      <c r="D165" s="253"/>
      <c r="E165" s="254"/>
      <c r="G165" s="257">
        <v>1.25</v>
      </c>
      <c r="H165" s="18">
        <f t="shared" si="285"/>
        <v>0</v>
      </c>
      <c r="I165" s="19">
        <f t="shared" si="286"/>
        <v>0</v>
      </c>
      <c r="J165" s="19" t="str">
        <f t="shared" si="287"/>
        <v>-</v>
      </c>
      <c r="L165" s="17">
        <f t="shared" si="288"/>
        <v>0</v>
      </c>
      <c r="M165" s="18"/>
      <c r="N165" s="18">
        <f t="shared" si="289"/>
        <v>0</v>
      </c>
      <c r="P165" s="19" t="str">
        <f t="shared" si="290"/>
        <v>-</v>
      </c>
    </row>
    <row r="166" spans="1:26" ht="14.25" customHeight="1" x14ac:dyDescent="0.3">
      <c r="A166" s="6"/>
      <c r="B166" s="255"/>
      <c r="C166" s="256"/>
      <c r="D166" s="256"/>
      <c r="E166" s="254"/>
      <c r="G166" s="258"/>
      <c r="H166" s="22"/>
      <c r="I166" s="24"/>
      <c r="J166" s="24"/>
      <c r="L166" s="25"/>
      <c r="M166" s="26"/>
      <c r="N166" s="26"/>
      <c r="O166" s="27"/>
      <c r="P166" s="28"/>
    </row>
    <row r="167" spans="1:26" ht="14.25" customHeight="1" x14ac:dyDescent="0.3">
      <c r="A167" s="6"/>
      <c r="B167" s="252"/>
      <c r="C167" s="253"/>
      <c r="D167" s="253"/>
      <c r="E167" s="254"/>
      <c r="G167" s="257"/>
      <c r="H167" s="18"/>
      <c r="I167" s="19"/>
      <c r="J167" s="19"/>
      <c r="L167" s="12"/>
      <c r="M167" s="6"/>
      <c r="N167" s="6"/>
      <c r="P167" s="13"/>
    </row>
    <row r="168" spans="1:26" ht="14.25" customHeight="1" x14ac:dyDescent="0.3">
      <c r="A168" s="6"/>
      <c r="B168" s="252"/>
      <c r="C168" s="253"/>
      <c r="D168" s="253"/>
      <c r="E168" s="254"/>
      <c r="G168" s="257"/>
      <c r="H168" s="18"/>
      <c r="I168" s="19"/>
      <c r="J168" s="19"/>
      <c r="L168" s="12"/>
      <c r="N168" s="6"/>
      <c r="P168" s="13"/>
    </row>
    <row r="169" spans="1:26" ht="14.25" customHeight="1" x14ac:dyDescent="0.3">
      <c r="A169" s="6"/>
      <c r="B169" s="12"/>
      <c r="C169" s="6"/>
      <c r="D169" s="6"/>
      <c r="E169" s="13"/>
      <c r="G169" s="20"/>
      <c r="H169" s="18"/>
      <c r="I169" s="19"/>
      <c r="J169" s="19"/>
      <c r="L169" s="12"/>
      <c r="N169" s="6"/>
      <c r="P169" s="13"/>
    </row>
    <row r="170" spans="1:26" ht="14.25" customHeight="1" x14ac:dyDescent="0.3">
      <c r="A170" s="6"/>
      <c r="B170" s="42">
        <f t="shared" ref="B170:D170" si="291">SUM(B122:B168)</f>
        <v>0</v>
      </c>
      <c r="C170" s="43">
        <f t="shared" si="291"/>
        <v>0</v>
      </c>
      <c r="D170" s="43">
        <f t="shared" si="291"/>
        <v>0</v>
      </c>
      <c r="E170" s="44">
        <f>SUM(E121:E165)</f>
        <v>200</v>
      </c>
      <c r="G170" s="45">
        <v>1.25</v>
      </c>
      <c r="H170" s="43">
        <f>MAX(B170:D170)*G170</f>
        <v>0</v>
      </c>
      <c r="I170" s="44">
        <f>E170*G170</f>
        <v>250</v>
      </c>
      <c r="J170" s="44">
        <f>((MAX(B170:D170)*1.732)+E170)*G170</f>
        <v>250</v>
      </c>
      <c r="L170" s="42">
        <f>SUM(L121:L166)</f>
        <v>0</v>
      </c>
      <c r="M170" s="43"/>
      <c r="N170" s="43">
        <f>SUM(N121:N166)</f>
        <v>79.671999999999997</v>
      </c>
      <c r="O170" s="43"/>
      <c r="P170" s="44">
        <f>SUM(P121:P166)</f>
        <v>79.671999999999997</v>
      </c>
    </row>
    <row r="171" spans="1:26" ht="14.25" customHeight="1" x14ac:dyDescent="0.3"/>
    <row r="172" spans="1:26" ht="14.25" customHeight="1" x14ac:dyDescent="0.3"/>
    <row r="173" spans="1:26" ht="14.25" customHeight="1" x14ac:dyDescent="0.3"/>
    <row r="174" spans="1:26" ht="14.25" customHeight="1" x14ac:dyDescent="0.3">
      <c r="B174" s="344" t="s">
        <v>32</v>
      </c>
      <c r="C174" s="345"/>
      <c r="D174" s="345"/>
      <c r="E174" s="346"/>
      <c r="F174" s="46"/>
      <c r="G174" s="46"/>
      <c r="H174" s="46"/>
      <c r="I174" s="46"/>
      <c r="J174" s="46"/>
      <c r="K174" s="46"/>
      <c r="L174" s="46"/>
    </row>
    <row r="175" spans="1:26" ht="14.25" customHeight="1" x14ac:dyDescent="0.3">
      <c r="P175" s="6"/>
      <c r="Q175" s="6"/>
      <c r="R175" s="6"/>
      <c r="S175" s="6"/>
      <c r="T175" s="6"/>
      <c r="X175" s="6"/>
      <c r="Y175" s="6"/>
      <c r="Z175" s="6"/>
    </row>
    <row r="176" spans="1:26" ht="14.25" customHeight="1" x14ac:dyDescent="0.3">
      <c r="B176" s="349" t="s">
        <v>4</v>
      </c>
      <c r="C176" s="345"/>
      <c r="D176" s="345"/>
      <c r="E176" s="346"/>
      <c r="G176" s="349" t="s">
        <v>1</v>
      </c>
      <c r="H176" s="345"/>
      <c r="I176" s="345"/>
      <c r="J176" s="346"/>
      <c r="L176" s="354" t="s">
        <v>2</v>
      </c>
      <c r="M176" s="349" t="s">
        <v>3</v>
      </c>
      <c r="N176" s="345"/>
      <c r="O176" s="346"/>
      <c r="P176" s="6"/>
      <c r="Q176" s="6"/>
      <c r="R176" s="6"/>
      <c r="S176" s="6"/>
      <c r="T176" s="6"/>
      <c r="X176" s="6"/>
      <c r="Y176" s="6"/>
      <c r="Z176" s="6"/>
    </row>
    <row r="177" spans="1:28" ht="14.25" customHeight="1" x14ac:dyDescent="0.3">
      <c r="B177" s="33" t="s">
        <v>9</v>
      </c>
      <c r="C177" s="47" t="s">
        <v>8</v>
      </c>
      <c r="D177" s="352" t="s">
        <v>10</v>
      </c>
      <c r="E177" s="353"/>
      <c r="G177" s="7" t="s">
        <v>5</v>
      </c>
      <c r="H177" s="8" t="s">
        <v>6</v>
      </c>
      <c r="I177" s="8" t="s">
        <v>7</v>
      </c>
      <c r="J177" s="9" t="s">
        <v>8</v>
      </c>
      <c r="L177" s="355"/>
      <c r="M177" s="11" t="s">
        <v>9</v>
      </c>
      <c r="N177" s="11" t="s">
        <v>8</v>
      </c>
      <c r="O177" s="11" t="s">
        <v>10</v>
      </c>
      <c r="P177" s="6"/>
      <c r="Q177" s="6"/>
      <c r="R177" s="6"/>
      <c r="S177" s="6"/>
      <c r="T177" s="6"/>
      <c r="X177" s="6"/>
      <c r="Y177" s="6"/>
      <c r="Z177" s="6"/>
    </row>
    <row r="178" spans="1:28" ht="14.25" customHeight="1" x14ac:dyDescent="0.3">
      <c r="B178" s="12"/>
      <c r="C178" s="6"/>
      <c r="D178" s="350"/>
      <c r="E178" s="351"/>
      <c r="G178" s="12"/>
      <c r="H178" s="6"/>
      <c r="I178" s="6"/>
      <c r="J178" s="13"/>
      <c r="L178" s="14"/>
      <c r="M178" s="15"/>
      <c r="N178" s="16"/>
      <c r="O178" s="16"/>
      <c r="P178" s="6"/>
      <c r="Q178" s="6"/>
      <c r="R178" s="6"/>
      <c r="S178" s="6"/>
      <c r="T178" s="6"/>
      <c r="X178" s="6"/>
      <c r="Y178" s="6"/>
      <c r="Z178" s="6"/>
    </row>
    <row r="179" spans="1:28" ht="14.25" customHeight="1" x14ac:dyDescent="0.3">
      <c r="A179" s="6">
        <v>1</v>
      </c>
      <c r="B179" s="261">
        <v>1</v>
      </c>
      <c r="C179" s="259">
        <v>500</v>
      </c>
      <c r="D179" s="350">
        <f t="shared" ref="D179:D180" si="292">IF(B179+C179=0,"-",B179+C179)</f>
        <v>501</v>
      </c>
      <c r="E179" s="351"/>
      <c r="G179" s="17">
        <f t="shared" ref="G179:G180" si="293">B179/0.23</f>
        <v>4.3478260869565215</v>
      </c>
      <c r="H179" s="18"/>
      <c r="I179" s="18"/>
      <c r="J179" s="19">
        <f t="shared" ref="J179:J180" si="294">C179/(0.23*1.732)</f>
        <v>1255.1460990059243</v>
      </c>
      <c r="L179" s="257">
        <v>1.25</v>
      </c>
      <c r="M179" s="18">
        <f t="shared" ref="M179:M180" si="295">G179*L179</f>
        <v>5.4347826086956523</v>
      </c>
      <c r="N179" s="19">
        <f t="shared" ref="N179:N180" si="296">J179*L179</f>
        <v>1568.9326237574053</v>
      </c>
      <c r="O179" s="19">
        <f t="shared" ref="O179:O180" si="297">IF((M179+N179=0),"-",((MAX(G179:I179)*1.732)+J179)*L179)</f>
        <v>1578.345667235666</v>
      </c>
      <c r="P179" s="6"/>
      <c r="Q179" s="6"/>
      <c r="R179" s="6"/>
      <c r="S179" s="6"/>
      <c r="T179" s="6"/>
      <c r="X179" s="6"/>
      <c r="Y179" s="6"/>
      <c r="Z179" s="6"/>
    </row>
    <row r="180" spans="1:28" ht="14.25" customHeight="1" x14ac:dyDescent="0.3">
      <c r="A180" s="6">
        <v>2</v>
      </c>
      <c r="B180" s="261">
        <v>1</v>
      </c>
      <c r="C180" s="259">
        <v>1</v>
      </c>
      <c r="D180" s="350">
        <f t="shared" si="292"/>
        <v>2</v>
      </c>
      <c r="E180" s="351"/>
      <c r="G180" s="17">
        <f t="shared" si="293"/>
        <v>4.3478260869565215</v>
      </c>
      <c r="H180" s="18"/>
      <c r="I180" s="18"/>
      <c r="J180" s="19">
        <f t="shared" si="294"/>
        <v>2.5102921980118484</v>
      </c>
      <c r="L180" s="257">
        <v>1.25</v>
      </c>
      <c r="M180" s="18">
        <f t="shared" si="295"/>
        <v>5.4347826086956523</v>
      </c>
      <c r="N180" s="19">
        <f t="shared" si="296"/>
        <v>3.1378652475148106</v>
      </c>
      <c r="O180" s="19">
        <f t="shared" si="297"/>
        <v>12.550908725775681</v>
      </c>
      <c r="R180" s="29"/>
      <c r="S180" s="8" t="s">
        <v>9</v>
      </c>
      <c r="T180" s="8"/>
      <c r="U180" s="8"/>
      <c r="V180" s="8"/>
      <c r="W180" s="9" t="s">
        <v>8</v>
      </c>
      <c r="Y180" s="30" t="s">
        <v>11</v>
      </c>
      <c r="Z180" s="15"/>
      <c r="AA180" s="15"/>
      <c r="AB180" s="16"/>
    </row>
    <row r="181" spans="1:28" ht="14.25" customHeight="1" x14ac:dyDescent="0.3">
      <c r="A181" s="6"/>
      <c r="B181" s="262"/>
      <c r="C181" s="263"/>
      <c r="D181" s="356"/>
      <c r="E181" s="357"/>
      <c r="G181" s="21"/>
      <c r="H181" s="22"/>
      <c r="I181" s="22"/>
      <c r="J181" s="24"/>
      <c r="L181" s="258"/>
      <c r="M181" s="22"/>
      <c r="N181" s="24"/>
      <c r="O181" s="24"/>
      <c r="R181" s="31"/>
      <c r="S181" s="32"/>
      <c r="T181" s="15"/>
      <c r="U181" s="15"/>
      <c r="V181" s="15"/>
      <c r="W181" s="16"/>
      <c r="Y181" s="31"/>
      <c r="Z181" s="259">
        <v>0.8</v>
      </c>
      <c r="AB181" s="19">
        <f t="shared" ref="AB181:AB186" si="298">$S$186*Z181</f>
        <v>403.87200000000001</v>
      </c>
    </row>
    <row r="182" spans="1:28" ht="14.25" customHeight="1" x14ac:dyDescent="0.3">
      <c r="A182" s="6">
        <v>3</v>
      </c>
      <c r="B182" s="261">
        <v>0.23</v>
      </c>
      <c r="C182" s="259"/>
      <c r="D182" s="350">
        <f t="shared" ref="D182:D183" si="299">IF(B182+C182=0,"-",B182+C182)</f>
        <v>0.23</v>
      </c>
      <c r="E182" s="351"/>
      <c r="G182" s="17"/>
      <c r="H182" s="18">
        <f t="shared" ref="H182:H183" si="300">B182/0.23</f>
        <v>1</v>
      </c>
      <c r="I182" s="18"/>
      <c r="J182" s="19">
        <f t="shared" ref="J182:J183" si="301">C182/(0.23*1.732)</f>
        <v>0</v>
      </c>
      <c r="L182" s="257">
        <v>1.25</v>
      </c>
      <c r="M182" s="18">
        <f t="shared" ref="M182:M183" si="302">H182*L182</f>
        <v>1.25</v>
      </c>
      <c r="N182" s="19">
        <f t="shared" ref="N182:N183" si="303">J182*L182</f>
        <v>0</v>
      </c>
      <c r="O182" s="19">
        <f t="shared" ref="O182:O183" si="304">IF((M182+N182=0),"-",((MAX(G182:I182)*1.732)+J182)*L182)</f>
        <v>2.165</v>
      </c>
      <c r="R182" s="33" t="s">
        <v>12</v>
      </c>
      <c r="S182" s="17">
        <f t="shared" ref="S182:U182" si="305">G227*0.23</f>
        <v>2</v>
      </c>
      <c r="T182" s="18">
        <f t="shared" si="305"/>
        <v>0.23</v>
      </c>
      <c r="U182" s="18">
        <f t="shared" si="305"/>
        <v>0.23</v>
      </c>
      <c r="V182" s="18"/>
      <c r="W182" s="19">
        <f>J227*0.23*1.732</f>
        <v>502.38</v>
      </c>
      <c r="Y182" s="31"/>
      <c r="Z182" s="259">
        <v>0.7</v>
      </c>
      <c r="AB182" s="19">
        <f t="shared" si="298"/>
        <v>353.38799999999998</v>
      </c>
    </row>
    <row r="183" spans="1:28" ht="14.25" customHeight="1" x14ac:dyDescent="0.3">
      <c r="A183" s="6">
        <v>4</v>
      </c>
      <c r="B183" s="261"/>
      <c r="C183" s="259">
        <v>0.69</v>
      </c>
      <c r="D183" s="350">
        <f t="shared" si="299"/>
        <v>0.69</v>
      </c>
      <c r="E183" s="351"/>
      <c r="G183" s="17"/>
      <c r="H183" s="18">
        <f t="shared" si="300"/>
        <v>0</v>
      </c>
      <c r="I183" s="18"/>
      <c r="J183" s="19">
        <f t="shared" si="301"/>
        <v>1.7321016166281755</v>
      </c>
      <c r="L183" s="257">
        <v>1.25</v>
      </c>
      <c r="M183" s="18">
        <f t="shared" si="302"/>
        <v>0</v>
      </c>
      <c r="N183" s="19">
        <f t="shared" si="303"/>
        <v>2.1651270207852193</v>
      </c>
      <c r="O183" s="19">
        <f t="shared" si="304"/>
        <v>2.1651270207852193</v>
      </c>
      <c r="R183" s="12"/>
      <c r="S183" s="12"/>
      <c r="T183" s="6"/>
      <c r="U183" s="6"/>
      <c r="V183" s="6"/>
      <c r="W183" s="13"/>
      <c r="Y183" s="31"/>
      <c r="Z183" s="259">
        <v>0.6</v>
      </c>
      <c r="AB183" s="19">
        <f t="shared" si="298"/>
        <v>302.904</v>
      </c>
    </row>
    <row r="184" spans="1:28" ht="14.25" customHeight="1" x14ac:dyDescent="0.3">
      <c r="A184" s="6"/>
      <c r="B184" s="262"/>
      <c r="C184" s="263"/>
      <c r="D184" s="356"/>
      <c r="E184" s="357"/>
      <c r="G184" s="21"/>
      <c r="H184" s="22"/>
      <c r="I184" s="22"/>
      <c r="J184" s="24"/>
      <c r="L184" s="258"/>
      <c r="M184" s="22"/>
      <c r="N184" s="24"/>
      <c r="O184" s="24"/>
      <c r="R184" s="33" t="s">
        <v>13</v>
      </c>
      <c r="S184" s="17">
        <f>SUM(S182:U182)</f>
        <v>2.46</v>
      </c>
      <c r="T184" s="18"/>
      <c r="U184" s="18"/>
      <c r="V184" s="6"/>
      <c r="W184" s="19">
        <f>W182</f>
        <v>502.38</v>
      </c>
      <c r="Y184" s="31"/>
      <c r="Z184" s="259">
        <v>0.5</v>
      </c>
      <c r="AB184" s="19">
        <f t="shared" si="298"/>
        <v>252.42</v>
      </c>
    </row>
    <row r="185" spans="1:28" ht="14.25" customHeight="1" x14ac:dyDescent="0.3">
      <c r="A185" s="6">
        <v>5</v>
      </c>
      <c r="B185" s="261">
        <v>0.23</v>
      </c>
      <c r="C185" s="259">
        <v>0.69</v>
      </c>
      <c r="D185" s="350">
        <f t="shared" ref="D185:D186" si="306">IF(B185+C185=0,"-",B185+C185)</f>
        <v>0.91999999999999993</v>
      </c>
      <c r="E185" s="351"/>
      <c r="G185" s="48"/>
      <c r="H185" s="18"/>
      <c r="I185" s="18">
        <f t="shared" ref="I185:I186" si="307">B185/0.23</f>
        <v>1</v>
      </c>
      <c r="J185" s="19">
        <f t="shared" ref="J185:J186" si="308">C185/(0.23*1.732)</f>
        <v>1.7321016166281755</v>
      </c>
      <c r="L185" s="257">
        <v>1.25</v>
      </c>
      <c r="M185" s="18">
        <f t="shared" ref="M185:M186" si="309">I185*L185</f>
        <v>1.25</v>
      </c>
      <c r="N185" s="19">
        <f t="shared" ref="N185:N186" si="310">J185*L185</f>
        <v>2.1651270207852193</v>
      </c>
      <c r="O185" s="19">
        <f t="shared" ref="O185:O186" si="311">IF((M185+N185=0),"-",((MAX(G185:I185)*1.732)+J185)*L185)</f>
        <v>4.3301270207852198</v>
      </c>
      <c r="R185" s="12"/>
      <c r="S185" s="12"/>
      <c r="T185" s="6"/>
      <c r="U185" s="6"/>
      <c r="V185" s="6"/>
      <c r="W185" s="13"/>
      <c r="Y185" s="31"/>
      <c r="Z185" s="259">
        <v>0.4</v>
      </c>
      <c r="AB185" s="19">
        <f t="shared" si="298"/>
        <v>201.93600000000001</v>
      </c>
    </row>
    <row r="186" spans="1:28" ht="14.25" customHeight="1" x14ac:dyDescent="0.3">
      <c r="A186" s="6">
        <v>6</v>
      </c>
      <c r="B186" s="261"/>
      <c r="C186" s="259"/>
      <c r="D186" s="350" t="str">
        <f t="shared" si="306"/>
        <v>-</v>
      </c>
      <c r="E186" s="351"/>
      <c r="G186" s="17"/>
      <c r="H186" s="18"/>
      <c r="I186" s="18">
        <f t="shared" si="307"/>
        <v>0</v>
      </c>
      <c r="J186" s="19">
        <f t="shared" si="308"/>
        <v>0</v>
      </c>
      <c r="L186" s="257">
        <v>1.25</v>
      </c>
      <c r="M186" s="18">
        <f t="shared" si="309"/>
        <v>0</v>
      </c>
      <c r="N186" s="19">
        <f t="shared" si="310"/>
        <v>0</v>
      </c>
      <c r="O186" s="19" t="str">
        <f t="shared" si="311"/>
        <v>-</v>
      </c>
      <c r="R186" s="34" t="s">
        <v>14</v>
      </c>
      <c r="S186" s="35">
        <f>SUM(S182:U182) +W182</f>
        <v>504.84</v>
      </c>
      <c r="T186" s="36"/>
      <c r="U186" s="36"/>
      <c r="V186" s="36"/>
      <c r="W186" s="37"/>
      <c r="Y186" s="31"/>
      <c r="Z186" s="259">
        <v>0.38</v>
      </c>
      <c r="AB186" s="19">
        <f t="shared" si="298"/>
        <v>191.83920000000001</v>
      </c>
    </row>
    <row r="187" spans="1:28" ht="14.25" customHeight="1" x14ac:dyDescent="0.3">
      <c r="A187" s="6"/>
      <c r="B187" s="262"/>
      <c r="C187" s="263"/>
      <c r="D187" s="356"/>
      <c r="E187" s="357"/>
      <c r="G187" s="21"/>
      <c r="H187" s="22"/>
      <c r="I187" s="22"/>
      <c r="J187" s="24"/>
      <c r="L187" s="258"/>
      <c r="M187" s="22"/>
      <c r="N187" s="24"/>
      <c r="O187" s="24"/>
      <c r="S187" s="6"/>
      <c r="T187" s="6"/>
      <c r="U187" s="6"/>
      <c r="V187" s="6"/>
      <c r="W187" s="6"/>
      <c r="Y187" s="31"/>
      <c r="Z187" s="6"/>
      <c r="AA187" s="6"/>
      <c r="AB187" s="13"/>
    </row>
    <row r="188" spans="1:28" ht="14.25" customHeight="1" x14ac:dyDescent="0.3">
      <c r="A188" s="6">
        <v>7</v>
      </c>
      <c r="B188" s="261"/>
      <c r="C188" s="259"/>
      <c r="D188" s="350" t="str">
        <f t="shared" ref="D188:D189" si="312">IF(B188+C188=0,"-",B188+C188)</f>
        <v>-</v>
      </c>
      <c r="E188" s="351"/>
      <c r="G188" s="17">
        <f t="shared" ref="G188:G189" si="313">B188/0.23</f>
        <v>0</v>
      </c>
      <c r="H188" s="18"/>
      <c r="I188" s="18"/>
      <c r="J188" s="19">
        <f t="shared" ref="J188:J189" si="314">C188/(0.23*1.732)</f>
        <v>0</v>
      </c>
      <c r="L188" s="257">
        <v>1.25</v>
      </c>
      <c r="M188" s="18">
        <f t="shared" ref="M188:M189" si="315">G188*L188</f>
        <v>0</v>
      </c>
      <c r="N188" s="19">
        <f t="shared" ref="N188:N189" si="316">J188*L188</f>
        <v>0</v>
      </c>
      <c r="O188" s="19" t="str">
        <f t="shared" ref="O188:O189" si="317">IF((M188+N188=0),"-",((MAX(G188:I188)*1.732)+J188)*L188)</f>
        <v>-</v>
      </c>
      <c r="S188" s="6"/>
      <c r="T188" s="6"/>
      <c r="U188" s="6"/>
      <c r="V188" s="6"/>
      <c r="W188" s="6"/>
      <c r="Y188" s="31"/>
      <c r="Z188" s="6"/>
      <c r="AA188" s="6"/>
      <c r="AB188" s="13"/>
    </row>
    <row r="189" spans="1:28" ht="14.25" customHeight="1" x14ac:dyDescent="0.3">
      <c r="A189" s="6">
        <v>8</v>
      </c>
      <c r="B189" s="261"/>
      <c r="C189" s="259"/>
      <c r="D189" s="350" t="str">
        <f t="shared" si="312"/>
        <v>-</v>
      </c>
      <c r="E189" s="351"/>
      <c r="G189" s="17">
        <f t="shared" si="313"/>
        <v>0</v>
      </c>
      <c r="H189" s="18"/>
      <c r="I189" s="18"/>
      <c r="J189" s="19">
        <f t="shared" si="314"/>
        <v>0</v>
      </c>
      <c r="L189" s="257">
        <v>1.25</v>
      </c>
      <c r="M189" s="18">
        <f t="shared" si="315"/>
        <v>0</v>
      </c>
      <c r="N189" s="19">
        <f t="shared" si="316"/>
        <v>0</v>
      </c>
      <c r="O189" s="19" t="str">
        <f t="shared" si="317"/>
        <v>-</v>
      </c>
      <c r="S189" s="6"/>
      <c r="T189" s="6"/>
      <c r="U189" s="6"/>
      <c r="V189" s="6"/>
      <c r="W189" s="6"/>
      <c r="Y189" s="38" t="s">
        <v>15</v>
      </c>
      <c r="Z189" s="259">
        <v>0.8</v>
      </c>
      <c r="AA189" s="259"/>
      <c r="AB189" s="13">
        <f t="shared" ref="AB189:AB194" si="318">AA189*Z189</f>
        <v>0</v>
      </c>
    </row>
    <row r="190" spans="1:28" ht="14.25" customHeight="1" x14ac:dyDescent="0.3">
      <c r="A190" s="6"/>
      <c r="B190" s="262"/>
      <c r="C190" s="263"/>
      <c r="D190" s="356"/>
      <c r="E190" s="357"/>
      <c r="G190" s="21"/>
      <c r="H190" s="22"/>
      <c r="I190" s="22"/>
      <c r="J190" s="24"/>
      <c r="L190" s="258"/>
      <c r="M190" s="22"/>
      <c r="N190" s="24"/>
      <c r="O190" s="24"/>
      <c r="S190" s="6"/>
      <c r="T190" s="6"/>
      <c r="U190" s="6"/>
      <c r="V190" s="6"/>
      <c r="W190" s="6"/>
      <c r="Y190" s="31"/>
      <c r="Z190" s="259">
        <v>0.7</v>
      </c>
      <c r="AA190" s="259"/>
      <c r="AB190" s="13">
        <f t="shared" si="318"/>
        <v>0</v>
      </c>
    </row>
    <row r="191" spans="1:28" ht="14.25" customHeight="1" x14ac:dyDescent="0.3">
      <c r="A191" s="6">
        <v>9</v>
      </c>
      <c r="B191" s="261"/>
      <c r="C191" s="259"/>
      <c r="D191" s="350" t="str">
        <f t="shared" ref="D191:D192" si="319">IF(B191+C191=0,"-",B191+C191)</f>
        <v>-</v>
      </c>
      <c r="E191" s="351"/>
      <c r="G191" s="17"/>
      <c r="H191" s="18">
        <f t="shared" ref="H191:H192" si="320">B191/0.23</f>
        <v>0</v>
      </c>
      <c r="I191" s="18"/>
      <c r="J191" s="19">
        <f t="shared" ref="J191:J192" si="321">C191/(0.23*1.732)</f>
        <v>0</v>
      </c>
      <c r="L191" s="257">
        <v>1.25</v>
      </c>
      <c r="M191" s="18">
        <f t="shared" ref="M191:M192" si="322">H191*L191</f>
        <v>0</v>
      </c>
      <c r="N191" s="19">
        <f t="shared" ref="N191:N192" si="323">J191*L191</f>
        <v>0</v>
      </c>
      <c r="O191" s="19" t="str">
        <f t="shared" ref="O191:O192" si="324">IF((M191+N191=0),"-",((MAX(G191:I191)*1.732)+J191)*L191)</f>
        <v>-</v>
      </c>
      <c r="R191" s="30" t="s">
        <v>16</v>
      </c>
      <c r="S191" s="15"/>
      <c r="T191" s="15"/>
      <c r="U191" s="16"/>
      <c r="V191" s="6"/>
      <c r="W191" s="6"/>
      <c r="Y191" s="31"/>
      <c r="Z191" s="259">
        <v>0.6</v>
      </c>
      <c r="AA191" s="259"/>
      <c r="AB191" s="13">
        <f t="shared" si="318"/>
        <v>0</v>
      </c>
    </row>
    <row r="192" spans="1:28" ht="14.25" customHeight="1" x14ac:dyDescent="0.3">
      <c r="A192" s="6">
        <v>10</v>
      </c>
      <c r="B192" s="261"/>
      <c r="C192" s="259"/>
      <c r="D192" s="350" t="str">
        <f t="shared" si="319"/>
        <v>-</v>
      </c>
      <c r="E192" s="351"/>
      <c r="G192" s="17"/>
      <c r="H192" s="18">
        <f t="shared" si="320"/>
        <v>0</v>
      </c>
      <c r="I192" s="18"/>
      <c r="J192" s="19">
        <f t="shared" si="321"/>
        <v>0</v>
      </c>
      <c r="L192" s="257">
        <v>1.25</v>
      </c>
      <c r="M192" s="18">
        <f t="shared" si="322"/>
        <v>0</v>
      </c>
      <c r="N192" s="19">
        <f t="shared" si="323"/>
        <v>0</v>
      </c>
      <c r="O192" s="19" t="str">
        <f t="shared" si="324"/>
        <v>-</v>
      </c>
      <c r="R192" s="31"/>
      <c r="S192" s="6"/>
      <c r="T192" s="6" t="s">
        <v>9</v>
      </c>
      <c r="U192" s="13" t="s">
        <v>8</v>
      </c>
      <c r="V192" s="6"/>
      <c r="W192" s="6"/>
      <c r="Y192" s="31"/>
      <c r="Z192" s="259">
        <v>0.5</v>
      </c>
      <c r="AA192" s="259"/>
      <c r="AB192" s="13">
        <f t="shared" si="318"/>
        <v>0</v>
      </c>
    </row>
    <row r="193" spans="1:28" ht="14.25" customHeight="1" x14ac:dyDescent="0.3">
      <c r="A193" s="6"/>
      <c r="B193" s="262"/>
      <c r="C193" s="263"/>
      <c r="D193" s="356"/>
      <c r="E193" s="357"/>
      <c r="G193" s="21"/>
      <c r="H193" s="22"/>
      <c r="I193" s="22"/>
      <c r="J193" s="24"/>
      <c r="L193" s="258"/>
      <c r="M193" s="22"/>
      <c r="N193" s="24"/>
      <c r="O193" s="24"/>
      <c r="R193" s="31"/>
      <c r="S193" s="6"/>
      <c r="T193" s="6"/>
      <c r="U193" s="13"/>
      <c r="V193" s="6"/>
      <c r="W193" s="6"/>
      <c r="Y193" s="31"/>
      <c r="Z193" s="259">
        <v>0.4</v>
      </c>
      <c r="AA193" s="259"/>
      <c r="AB193" s="13">
        <f t="shared" si="318"/>
        <v>0</v>
      </c>
    </row>
    <row r="194" spans="1:28" ht="14.25" customHeight="1" x14ac:dyDescent="0.3">
      <c r="A194" s="6">
        <v>11</v>
      </c>
      <c r="B194" s="261"/>
      <c r="C194" s="259"/>
      <c r="D194" s="350" t="str">
        <f t="shared" ref="D194:D195" si="325">IF(B194+C194=0,"-",B194+C194)</f>
        <v>-</v>
      </c>
      <c r="E194" s="351"/>
      <c r="G194" s="48"/>
      <c r="H194" s="18"/>
      <c r="I194" s="18">
        <f t="shared" ref="I194:I195" si="326">B194/0.23</f>
        <v>0</v>
      </c>
      <c r="J194" s="19">
        <f t="shared" ref="J194:J195" si="327">C194/(0.23*1.732)</f>
        <v>0</v>
      </c>
      <c r="L194" s="257">
        <v>1.25</v>
      </c>
      <c r="M194" s="18">
        <f t="shared" ref="M194:M195" si="328">I194*L194</f>
        <v>0</v>
      </c>
      <c r="N194" s="19">
        <f t="shared" ref="N194:N195" si="329">J194*L194</f>
        <v>0</v>
      </c>
      <c r="O194" s="19" t="str">
        <f t="shared" ref="O194:O195" si="330">IF((M194+N194=0),"-",((MAX(G194:I194)*1.732)+J194)*L194)</f>
        <v>-</v>
      </c>
      <c r="R194" s="31" t="s">
        <v>1</v>
      </c>
      <c r="S194" s="6"/>
      <c r="T194" s="18">
        <f>MAX(G227:I227)</f>
        <v>8.695652173913043</v>
      </c>
      <c r="U194" s="19">
        <f>J227</f>
        <v>1261.1205944371925</v>
      </c>
      <c r="V194" s="6"/>
      <c r="W194" s="6"/>
      <c r="Y194" s="39"/>
      <c r="Z194" s="260">
        <v>0.3</v>
      </c>
      <c r="AA194" s="260"/>
      <c r="AB194" s="41">
        <f t="shared" si="318"/>
        <v>0</v>
      </c>
    </row>
    <row r="195" spans="1:28" ht="14.25" customHeight="1" x14ac:dyDescent="0.3">
      <c r="A195" s="6">
        <v>12</v>
      </c>
      <c r="B195" s="261"/>
      <c r="C195" s="259"/>
      <c r="D195" s="350" t="str">
        <f t="shared" si="325"/>
        <v>-</v>
      </c>
      <c r="E195" s="351"/>
      <c r="G195" s="17"/>
      <c r="H195" s="18"/>
      <c r="I195" s="18">
        <f t="shared" si="326"/>
        <v>0</v>
      </c>
      <c r="J195" s="19">
        <f t="shared" si="327"/>
        <v>0</v>
      </c>
      <c r="L195" s="257">
        <v>1.25</v>
      </c>
      <c r="M195" s="18">
        <f t="shared" si="328"/>
        <v>0</v>
      </c>
      <c r="N195" s="19">
        <f t="shared" si="329"/>
        <v>0</v>
      </c>
      <c r="O195" s="19" t="str">
        <f t="shared" si="330"/>
        <v>-</v>
      </c>
      <c r="R195" s="31"/>
      <c r="S195" s="6"/>
      <c r="T195" s="6"/>
      <c r="U195" s="13"/>
      <c r="V195" s="6"/>
      <c r="W195" s="6"/>
      <c r="Z195" s="6"/>
      <c r="AA195" s="6"/>
      <c r="AB195" s="6"/>
    </row>
    <row r="196" spans="1:28" ht="14.25" customHeight="1" x14ac:dyDescent="0.3">
      <c r="A196" s="6"/>
      <c r="B196" s="262"/>
      <c r="C196" s="263"/>
      <c r="D196" s="356"/>
      <c r="E196" s="357"/>
      <c r="G196" s="21"/>
      <c r="H196" s="22"/>
      <c r="I196" s="22"/>
      <c r="J196" s="24"/>
      <c r="L196" s="258"/>
      <c r="M196" s="22"/>
      <c r="N196" s="24"/>
      <c r="O196" s="24"/>
      <c r="R196" s="31" t="s">
        <v>17</v>
      </c>
      <c r="S196" s="6"/>
      <c r="T196" s="18">
        <f>(T194*1.732)+U194</f>
        <v>1276.1814640024099</v>
      </c>
      <c r="U196" s="13"/>
      <c r="V196" s="6"/>
      <c r="W196" s="6"/>
      <c r="Z196" s="6"/>
      <c r="AA196" s="6"/>
      <c r="AB196" s="6"/>
    </row>
    <row r="197" spans="1:28" ht="14.25" customHeight="1" x14ac:dyDescent="0.3">
      <c r="A197" s="6">
        <v>13</v>
      </c>
      <c r="B197" s="261"/>
      <c r="C197" s="259"/>
      <c r="D197" s="350" t="str">
        <f t="shared" ref="D197:D198" si="331">IF(B197+C197=0,"-",B197+C197)</f>
        <v>-</v>
      </c>
      <c r="E197" s="351"/>
      <c r="G197" s="17">
        <f t="shared" ref="G197:G198" si="332">B197/0.23</f>
        <v>0</v>
      </c>
      <c r="H197" s="18"/>
      <c r="I197" s="18"/>
      <c r="J197" s="19">
        <f t="shared" ref="J197:J198" si="333">C197/(0.23*1.732)</f>
        <v>0</v>
      </c>
      <c r="L197" s="257">
        <v>1.25</v>
      </c>
      <c r="M197" s="18">
        <f t="shared" ref="M197:M198" si="334">G197*L197</f>
        <v>0</v>
      </c>
      <c r="N197" s="19">
        <f t="shared" ref="N197:N198" si="335">J197*L197</f>
        <v>0</v>
      </c>
      <c r="O197" s="19" t="str">
        <f t="shared" ref="O197:O198" si="336">IF((M197+N197=0),"-",((MAX(G197:I197)*1.732)+J197)*L197)</f>
        <v>-</v>
      </c>
      <c r="R197" s="31"/>
      <c r="S197" s="6"/>
      <c r="T197" s="6"/>
      <c r="U197" s="13"/>
      <c r="V197" s="6"/>
      <c r="W197" s="6"/>
      <c r="Z197" s="6"/>
      <c r="AA197" s="6"/>
      <c r="AB197" s="6"/>
    </row>
    <row r="198" spans="1:28" ht="14.25" customHeight="1" x14ac:dyDescent="0.3">
      <c r="A198" s="6">
        <v>14</v>
      </c>
      <c r="B198" s="261"/>
      <c r="C198" s="259"/>
      <c r="D198" s="350" t="str">
        <f t="shared" si="331"/>
        <v>-</v>
      </c>
      <c r="E198" s="351"/>
      <c r="G198" s="17">
        <f t="shared" si="332"/>
        <v>0</v>
      </c>
      <c r="H198" s="18"/>
      <c r="I198" s="18"/>
      <c r="J198" s="19">
        <f t="shared" si="333"/>
        <v>0</v>
      </c>
      <c r="L198" s="257">
        <v>1.25</v>
      </c>
      <c r="M198" s="18">
        <f t="shared" si="334"/>
        <v>0</v>
      </c>
      <c r="N198" s="19">
        <f t="shared" si="335"/>
        <v>0</v>
      </c>
      <c r="O198" s="19" t="str">
        <f t="shared" si="336"/>
        <v>-</v>
      </c>
      <c r="R198" s="39" t="s">
        <v>18</v>
      </c>
      <c r="S198" s="40"/>
      <c r="T198" s="40">
        <f>T196*1.25</f>
        <v>1595.2268300030123</v>
      </c>
      <c r="U198" s="41"/>
      <c r="V198" s="6"/>
      <c r="W198" s="6"/>
      <c r="Y198" s="30" t="s">
        <v>19</v>
      </c>
      <c r="Z198" s="15"/>
      <c r="AA198" s="15"/>
      <c r="AB198" s="16"/>
    </row>
    <row r="199" spans="1:28" ht="14.25" customHeight="1" x14ac:dyDescent="0.3">
      <c r="A199" s="6"/>
      <c r="B199" s="262"/>
      <c r="C199" s="263"/>
      <c r="D199" s="356"/>
      <c r="E199" s="357"/>
      <c r="G199" s="21"/>
      <c r="H199" s="22"/>
      <c r="I199" s="22"/>
      <c r="J199" s="24"/>
      <c r="L199" s="258"/>
      <c r="M199" s="22"/>
      <c r="N199" s="24"/>
      <c r="O199" s="24"/>
      <c r="S199" s="6"/>
      <c r="T199" s="6"/>
      <c r="U199" s="6"/>
      <c r="V199" s="6"/>
      <c r="W199" s="6"/>
      <c r="Y199" s="31"/>
      <c r="Z199" s="259">
        <v>0.8</v>
      </c>
      <c r="AB199" s="19">
        <f t="shared" ref="AB199:AB205" si="337">$T$198*Z199</f>
        <v>1276.1814640024099</v>
      </c>
    </row>
    <row r="200" spans="1:28" ht="14.25" customHeight="1" x14ac:dyDescent="0.3">
      <c r="A200" s="6">
        <v>15</v>
      </c>
      <c r="B200" s="261"/>
      <c r="C200" s="259"/>
      <c r="D200" s="350" t="str">
        <f t="shared" ref="D200:D201" si="338">IF(B200+C200=0,"-",B200+C200)</f>
        <v>-</v>
      </c>
      <c r="E200" s="351"/>
      <c r="G200" s="17"/>
      <c r="H200" s="18">
        <f t="shared" ref="H200:H201" si="339">B200/0.23</f>
        <v>0</v>
      </c>
      <c r="I200" s="18"/>
      <c r="J200" s="19">
        <f t="shared" ref="J200:J201" si="340">C200/(0.23*1.732)</f>
        <v>0</v>
      </c>
      <c r="L200" s="257">
        <v>1.25</v>
      </c>
      <c r="M200" s="18">
        <f t="shared" ref="M200:M201" si="341">H200*L200</f>
        <v>0</v>
      </c>
      <c r="N200" s="19">
        <f t="shared" ref="N200:N201" si="342">J200*L200</f>
        <v>0</v>
      </c>
      <c r="O200" s="19" t="str">
        <f t="shared" ref="O200:O201" si="343">IF((M200+N200=0),"-",((MAX(G200:I200)*1.732)+J200)*L200)</f>
        <v>-</v>
      </c>
      <c r="S200" s="6"/>
      <c r="T200" s="6"/>
      <c r="U200" s="6"/>
      <c r="V200" s="6"/>
      <c r="W200" s="6"/>
      <c r="Y200" s="31"/>
      <c r="Z200" s="259">
        <v>0.7</v>
      </c>
      <c r="AB200" s="19">
        <f t="shared" si="337"/>
        <v>1116.6587810021085</v>
      </c>
    </row>
    <row r="201" spans="1:28" ht="14.25" customHeight="1" x14ac:dyDescent="0.3">
      <c r="A201" s="6">
        <v>16</v>
      </c>
      <c r="B201" s="261"/>
      <c r="C201" s="259"/>
      <c r="D201" s="350" t="str">
        <f t="shared" si="338"/>
        <v>-</v>
      </c>
      <c r="E201" s="351"/>
      <c r="G201" s="17"/>
      <c r="H201" s="18">
        <f t="shared" si="339"/>
        <v>0</v>
      </c>
      <c r="I201" s="18"/>
      <c r="J201" s="19">
        <f t="shared" si="340"/>
        <v>0</v>
      </c>
      <c r="L201" s="257">
        <v>1.25</v>
      </c>
      <c r="M201" s="18">
        <f t="shared" si="341"/>
        <v>0</v>
      </c>
      <c r="N201" s="19">
        <f t="shared" si="342"/>
        <v>0</v>
      </c>
      <c r="O201" s="19" t="str">
        <f t="shared" si="343"/>
        <v>-</v>
      </c>
      <c r="S201" s="6"/>
      <c r="T201" s="6"/>
      <c r="U201" s="6"/>
      <c r="V201" s="6"/>
      <c r="W201" s="6"/>
      <c r="Y201" s="31"/>
      <c r="Z201" s="259">
        <v>0.65</v>
      </c>
      <c r="AB201" s="19">
        <f t="shared" si="337"/>
        <v>1036.8974395019579</v>
      </c>
    </row>
    <row r="202" spans="1:28" ht="14.25" customHeight="1" x14ac:dyDescent="0.3">
      <c r="A202" s="6"/>
      <c r="B202" s="262"/>
      <c r="C202" s="263"/>
      <c r="D202" s="356"/>
      <c r="E202" s="357"/>
      <c r="G202" s="21"/>
      <c r="H202" s="22"/>
      <c r="I202" s="22"/>
      <c r="J202" s="24"/>
      <c r="L202" s="258"/>
      <c r="M202" s="22"/>
      <c r="N202" s="24"/>
      <c r="O202" s="24"/>
      <c r="S202" s="6"/>
      <c r="T202" s="6"/>
      <c r="U202" s="6"/>
      <c r="V202" s="6"/>
      <c r="W202" s="6"/>
      <c r="Y202" s="31"/>
      <c r="Z202" s="259">
        <v>0.5</v>
      </c>
      <c r="AB202" s="19">
        <f t="shared" si="337"/>
        <v>797.61341500150616</v>
      </c>
    </row>
    <row r="203" spans="1:28" ht="14.25" customHeight="1" x14ac:dyDescent="0.3">
      <c r="A203" s="6">
        <v>17</v>
      </c>
      <c r="B203" s="261"/>
      <c r="C203" s="259"/>
      <c r="D203" s="350" t="str">
        <f t="shared" ref="D203:D204" si="344">IF(B203+C203=0,"-",B203+C203)</f>
        <v>-</v>
      </c>
      <c r="E203" s="351"/>
      <c r="G203" s="48"/>
      <c r="H203" s="18"/>
      <c r="I203" s="18">
        <f t="shared" ref="I203:I204" si="345">B203/0.23</f>
        <v>0</v>
      </c>
      <c r="J203" s="19">
        <f t="shared" ref="J203:J204" si="346">C203/(0.23*1.732)</f>
        <v>0</v>
      </c>
      <c r="L203" s="257">
        <v>1.25</v>
      </c>
      <c r="M203" s="18">
        <f t="shared" ref="M203:M204" si="347">I203*L203</f>
        <v>0</v>
      </c>
      <c r="N203" s="19">
        <f t="shared" ref="N203:N204" si="348">J203*L203</f>
        <v>0</v>
      </c>
      <c r="O203" s="19" t="str">
        <f t="shared" ref="O203:O204" si="349">IF((M203+N203=0),"-",((MAX(G203:I203)*1.732)+J203)*L203)</f>
        <v>-</v>
      </c>
      <c r="R203" s="30" t="s">
        <v>20</v>
      </c>
      <c r="S203" s="15"/>
      <c r="T203" s="15"/>
      <c r="U203" s="16"/>
      <c r="V203" s="6"/>
      <c r="W203" s="6"/>
      <c r="Y203" s="31"/>
      <c r="Z203" s="259">
        <v>0.4</v>
      </c>
      <c r="AB203" s="19">
        <f t="shared" si="337"/>
        <v>638.09073200120497</v>
      </c>
    </row>
    <row r="204" spans="1:28" ht="14.25" customHeight="1" x14ac:dyDescent="0.3">
      <c r="A204" s="6">
        <v>18</v>
      </c>
      <c r="B204" s="261"/>
      <c r="C204" s="259"/>
      <c r="D204" s="350" t="str">
        <f t="shared" si="344"/>
        <v>-</v>
      </c>
      <c r="E204" s="351"/>
      <c r="G204" s="17"/>
      <c r="H204" s="18"/>
      <c r="I204" s="18">
        <f t="shared" si="345"/>
        <v>0</v>
      </c>
      <c r="J204" s="19">
        <f t="shared" si="346"/>
        <v>0</v>
      </c>
      <c r="L204" s="257">
        <v>1.25</v>
      </c>
      <c r="M204" s="18">
        <f t="shared" si="347"/>
        <v>0</v>
      </c>
      <c r="N204" s="19">
        <f t="shared" si="348"/>
        <v>0</v>
      </c>
      <c r="O204" s="19" t="str">
        <f t="shared" si="349"/>
        <v>-</v>
      </c>
      <c r="R204" s="31"/>
      <c r="S204" s="6" t="s">
        <v>21</v>
      </c>
      <c r="T204" s="6" t="s">
        <v>22</v>
      </c>
      <c r="U204" s="13" t="s">
        <v>23</v>
      </c>
      <c r="V204" s="6"/>
      <c r="W204" s="6"/>
      <c r="Y204" s="31"/>
      <c r="Z204" s="259">
        <v>0.38</v>
      </c>
      <c r="AB204" s="19">
        <f t="shared" si="337"/>
        <v>606.18619540114469</v>
      </c>
    </row>
    <row r="205" spans="1:28" ht="14.25" customHeight="1" x14ac:dyDescent="0.3">
      <c r="A205" s="6"/>
      <c r="B205" s="262"/>
      <c r="C205" s="263"/>
      <c r="D205" s="356"/>
      <c r="E205" s="357"/>
      <c r="G205" s="21"/>
      <c r="H205" s="22"/>
      <c r="I205" s="22"/>
      <c r="J205" s="24"/>
      <c r="L205" s="258"/>
      <c r="M205" s="22"/>
      <c r="N205" s="24"/>
      <c r="O205" s="24"/>
      <c r="R205" s="31"/>
      <c r="S205" s="6"/>
      <c r="T205" s="6"/>
      <c r="U205" s="13"/>
      <c r="V205" s="6"/>
      <c r="W205" s="6"/>
      <c r="Y205" s="31" t="s">
        <v>24</v>
      </c>
      <c r="Z205" s="259">
        <v>0.2</v>
      </c>
      <c r="AB205" s="19">
        <f t="shared" si="337"/>
        <v>319.04536600060248</v>
      </c>
    </row>
    <row r="206" spans="1:28" ht="14.25" customHeight="1" x14ac:dyDescent="0.3">
      <c r="A206" s="6">
        <v>19</v>
      </c>
      <c r="B206" s="261"/>
      <c r="C206" s="259"/>
      <c r="D206" s="350" t="str">
        <f t="shared" ref="D206:D207" si="350">IF(B206+C206=0,"-",B206+C206)</f>
        <v>-</v>
      </c>
      <c r="E206" s="351"/>
      <c r="G206" s="17">
        <f t="shared" ref="G206:G207" si="351">B206/0.23</f>
        <v>0</v>
      </c>
      <c r="H206" s="18"/>
      <c r="I206" s="18"/>
      <c r="J206" s="19">
        <f t="shared" ref="J206:J207" si="352">C206/(0.23*1.732)</f>
        <v>0</v>
      </c>
      <c r="L206" s="257">
        <v>1.25</v>
      </c>
      <c r="M206" s="18">
        <f t="shared" ref="M206:M207" si="353">G206*L206</f>
        <v>0</v>
      </c>
      <c r="N206" s="19">
        <f t="shared" ref="N206:N207" si="354">J206*L206</f>
        <v>0</v>
      </c>
      <c r="O206" s="19" t="str">
        <f t="shared" ref="O206:O207" si="355">IF((M206+N206=0),"-",((MAX(G206:I206)*1.732)+J206)*L206)</f>
        <v>-</v>
      </c>
      <c r="R206" s="31" t="s">
        <v>25</v>
      </c>
      <c r="S206" s="259">
        <v>1.25</v>
      </c>
      <c r="T206" s="259"/>
      <c r="U206" s="19">
        <f t="shared" ref="U206:U209" si="356">T206*S206</f>
        <v>0</v>
      </c>
      <c r="V206" s="6"/>
      <c r="W206" s="6"/>
      <c r="Y206" s="31"/>
      <c r="Z206" s="6"/>
      <c r="AA206" s="6"/>
      <c r="AB206" s="13"/>
    </row>
    <row r="207" spans="1:28" ht="14.25" customHeight="1" x14ac:dyDescent="0.3">
      <c r="A207" s="6">
        <v>20</v>
      </c>
      <c r="B207" s="261"/>
      <c r="C207" s="259"/>
      <c r="D207" s="350" t="str">
        <f t="shared" si="350"/>
        <v>-</v>
      </c>
      <c r="E207" s="351"/>
      <c r="G207" s="17">
        <f t="shared" si="351"/>
        <v>0</v>
      </c>
      <c r="H207" s="18"/>
      <c r="I207" s="18"/>
      <c r="J207" s="19">
        <f t="shared" si="352"/>
        <v>0</v>
      </c>
      <c r="L207" s="257">
        <v>1.25</v>
      </c>
      <c r="M207" s="18">
        <f t="shared" si="353"/>
        <v>0</v>
      </c>
      <c r="N207" s="19">
        <f t="shared" si="354"/>
        <v>0</v>
      </c>
      <c r="O207" s="19" t="str">
        <f t="shared" si="355"/>
        <v>-</v>
      </c>
      <c r="R207" s="31" t="s">
        <v>26</v>
      </c>
      <c r="S207" s="259">
        <v>2.25</v>
      </c>
      <c r="T207" s="259"/>
      <c r="U207" s="19">
        <f t="shared" si="356"/>
        <v>0</v>
      </c>
      <c r="V207" s="6"/>
      <c r="W207" s="6"/>
      <c r="Y207" s="38" t="s">
        <v>15</v>
      </c>
      <c r="Z207" s="259">
        <v>0.8</v>
      </c>
      <c r="AA207" s="259"/>
      <c r="AB207" s="13">
        <f t="shared" ref="AB207:AB212" si="357">AA207*Z207</f>
        <v>0</v>
      </c>
    </row>
    <row r="208" spans="1:28" ht="14.25" customHeight="1" x14ac:dyDescent="0.3">
      <c r="A208" s="6"/>
      <c r="B208" s="262"/>
      <c r="C208" s="263"/>
      <c r="D208" s="356"/>
      <c r="E208" s="357"/>
      <c r="G208" s="21"/>
      <c r="H208" s="22"/>
      <c r="I208" s="22"/>
      <c r="J208" s="24"/>
      <c r="L208" s="258"/>
      <c r="M208" s="22"/>
      <c r="N208" s="24"/>
      <c r="O208" s="24"/>
      <c r="R208" s="31" t="s">
        <v>27</v>
      </c>
      <c r="S208" s="259">
        <v>2</v>
      </c>
      <c r="T208" s="259"/>
      <c r="U208" s="19">
        <f t="shared" si="356"/>
        <v>0</v>
      </c>
      <c r="V208" s="6"/>
      <c r="W208" s="6"/>
      <c r="Y208" s="31"/>
      <c r="Z208" s="259">
        <v>0.7</v>
      </c>
      <c r="AA208" s="259"/>
      <c r="AB208" s="13">
        <f t="shared" si="357"/>
        <v>0</v>
      </c>
    </row>
    <row r="209" spans="1:28" ht="14.25" customHeight="1" x14ac:dyDescent="0.3">
      <c r="A209" s="6">
        <v>21</v>
      </c>
      <c r="B209" s="261"/>
      <c r="C209" s="259"/>
      <c r="D209" s="350" t="str">
        <f t="shared" ref="D209:D210" si="358">IF(B209+C209=0,"-",B209+C209)</f>
        <v>-</v>
      </c>
      <c r="E209" s="351"/>
      <c r="G209" s="17"/>
      <c r="H209" s="18">
        <f t="shared" ref="H209:H210" si="359">B209/0.23</f>
        <v>0</v>
      </c>
      <c r="I209" s="18"/>
      <c r="J209" s="19">
        <f t="shared" ref="J209:J210" si="360">C209/(0.23*1.732)</f>
        <v>0</v>
      </c>
      <c r="L209" s="257">
        <v>1.25</v>
      </c>
      <c r="M209" s="18">
        <f t="shared" ref="M209:M210" si="361">H209*L209</f>
        <v>0</v>
      </c>
      <c r="N209" s="19">
        <f t="shared" ref="N209:N210" si="362">J209*L209</f>
        <v>0</v>
      </c>
      <c r="O209" s="19" t="str">
        <f t="shared" ref="O209:O210" si="363">IF((M209+N209=0),"-",((MAX(G209:I209)*1.732)+J209)*L209)</f>
        <v>-</v>
      </c>
      <c r="R209" s="39" t="s">
        <v>28</v>
      </c>
      <c r="S209" s="260">
        <v>1.5</v>
      </c>
      <c r="T209" s="260"/>
      <c r="U209" s="37">
        <f t="shared" si="356"/>
        <v>0</v>
      </c>
      <c r="V209" s="6"/>
      <c r="W209" s="6"/>
      <c r="Y209" s="31"/>
      <c r="Z209" s="259">
        <v>0.6</v>
      </c>
      <c r="AA209" s="259"/>
      <c r="AB209" s="13">
        <f t="shared" si="357"/>
        <v>0</v>
      </c>
    </row>
    <row r="210" spans="1:28" ht="14.25" customHeight="1" x14ac:dyDescent="0.3">
      <c r="A210" s="6">
        <v>22</v>
      </c>
      <c r="B210" s="261"/>
      <c r="C210" s="259"/>
      <c r="D210" s="350" t="str">
        <f t="shared" si="358"/>
        <v>-</v>
      </c>
      <c r="E210" s="351"/>
      <c r="G210" s="17"/>
      <c r="H210" s="18">
        <f t="shared" si="359"/>
        <v>0</v>
      </c>
      <c r="I210" s="18"/>
      <c r="J210" s="19">
        <f t="shared" si="360"/>
        <v>0</v>
      </c>
      <c r="L210" s="257">
        <v>1.25</v>
      </c>
      <c r="M210" s="18">
        <f t="shared" si="361"/>
        <v>0</v>
      </c>
      <c r="N210" s="19">
        <f t="shared" si="362"/>
        <v>0</v>
      </c>
      <c r="O210" s="19" t="str">
        <f t="shared" si="363"/>
        <v>-</v>
      </c>
      <c r="S210" s="6"/>
      <c r="T210" s="6"/>
      <c r="U210" s="6"/>
      <c r="V210" s="6"/>
      <c r="W210" s="6"/>
      <c r="Y210" s="31"/>
      <c r="Z210" s="259">
        <v>0.5</v>
      </c>
      <c r="AA210" s="259"/>
      <c r="AB210" s="13">
        <f t="shared" si="357"/>
        <v>0</v>
      </c>
    </row>
    <row r="211" spans="1:28" ht="14.25" customHeight="1" x14ac:dyDescent="0.3">
      <c r="A211" s="6"/>
      <c r="B211" s="262"/>
      <c r="C211" s="263"/>
      <c r="D211" s="356"/>
      <c r="E211" s="357"/>
      <c r="G211" s="21"/>
      <c r="H211" s="22"/>
      <c r="I211" s="22"/>
      <c r="J211" s="24"/>
      <c r="L211" s="258"/>
      <c r="M211" s="22"/>
      <c r="N211" s="24"/>
      <c r="O211" s="24"/>
      <c r="S211" s="6"/>
      <c r="T211" s="6"/>
      <c r="U211" s="6"/>
      <c r="V211" s="6"/>
      <c r="W211" s="6"/>
      <c r="Y211" s="31"/>
      <c r="Z211" s="259">
        <v>0.4</v>
      </c>
      <c r="AA211" s="259"/>
      <c r="AB211" s="13">
        <f t="shared" si="357"/>
        <v>0</v>
      </c>
    </row>
    <row r="212" spans="1:28" ht="14.25" customHeight="1" x14ac:dyDescent="0.3">
      <c r="A212" s="6">
        <v>23</v>
      </c>
      <c r="B212" s="261"/>
      <c r="C212" s="259"/>
      <c r="D212" s="350" t="str">
        <f t="shared" ref="D212:D213" si="364">IF(B212+C212=0,"-",B212+C212)</f>
        <v>-</v>
      </c>
      <c r="E212" s="351"/>
      <c r="G212" s="48"/>
      <c r="H212" s="18"/>
      <c r="I212" s="18">
        <f t="shared" ref="I212:I213" si="365">B212/0.23</f>
        <v>0</v>
      </c>
      <c r="J212" s="19">
        <f t="shared" ref="J212:J213" si="366">C212/(0.23*1.732)</f>
        <v>0</v>
      </c>
      <c r="L212" s="257">
        <v>1.25</v>
      </c>
      <c r="M212" s="18">
        <f t="shared" ref="M212:M213" si="367">I212*L212</f>
        <v>0</v>
      </c>
      <c r="N212" s="19">
        <f t="shared" ref="N212:N213" si="368">J212*L212</f>
        <v>0</v>
      </c>
      <c r="O212" s="19" t="str">
        <f t="shared" ref="O212:O213" si="369">IF((M212+N212=0),"-",((MAX(G212:I212)*1.732)+J212)*L212)</f>
        <v>-</v>
      </c>
      <c r="S212" s="6"/>
      <c r="T212" s="6"/>
      <c r="U212" s="6"/>
      <c r="V212" s="6"/>
      <c r="W212" s="6"/>
      <c r="Y212" s="39"/>
      <c r="Z212" s="260">
        <v>0.3</v>
      </c>
      <c r="AA212" s="260"/>
      <c r="AB212" s="41">
        <f t="shared" si="357"/>
        <v>0</v>
      </c>
    </row>
    <row r="213" spans="1:28" ht="14.25" customHeight="1" x14ac:dyDescent="0.3">
      <c r="A213" s="6">
        <v>24</v>
      </c>
      <c r="B213" s="261"/>
      <c r="C213" s="259"/>
      <c r="D213" s="350" t="str">
        <f t="shared" si="364"/>
        <v>-</v>
      </c>
      <c r="E213" s="351"/>
      <c r="G213" s="17"/>
      <c r="H213" s="18"/>
      <c r="I213" s="18">
        <f t="shared" si="365"/>
        <v>0</v>
      </c>
      <c r="J213" s="19">
        <f t="shared" si="366"/>
        <v>0</v>
      </c>
      <c r="L213" s="257">
        <v>1.25</v>
      </c>
      <c r="M213" s="18">
        <f t="shared" si="367"/>
        <v>0</v>
      </c>
      <c r="N213" s="19">
        <f t="shared" si="368"/>
        <v>0</v>
      </c>
      <c r="O213" s="19" t="str">
        <f t="shared" si="369"/>
        <v>-</v>
      </c>
      <c r="P213" s="6"/>
      <c r="Q213" s="6"/>
      <c r="R213" s="6"/>
      <c r="S213" s="6"/>
      <c r="T213" s="6"/>
      <c r="X213" s="6"/>
      <c r="Y213" s="6"/>
      <c r="Z213" s="6"/>
    </row>
    <row r="214" spans="1:28" ht="14.25" customHeight="1" x14ac:dyDescent="0.3">
      <c r="A214" s="6"/>
      <c r="B214" s="262"/>
      <c r="C214" s="263"/>
      <c r="D214" s="356"/>
      <c r="E214" s="357"/>
      <c r="G214" s="21"/>
      <c r="H214" s="22"/>
      <c r="I214" s="22"/>
      <c r="J214" s="24"/>
      <c r="L214" s="258"/>
      <c r="M214" s="22"/>
      <c r="N214" s="24"/>
      <c r="O214" s="24"/>
      <c r="P214" s="6"/>
      <c r="Q214" s="6"/>
      <c r="R214" s="6"/>
      <c r="S214" s="6"/>
      <c r="T214" s="6"/>
      <c r="X214" s="6"/>
      <c r="Y214" s="6"/>
      <c r="Z214" s="6"/>
    </row>
    <row r="215" spans="1:28" ht="14.25" customHeight="1" x14ac:dyDescent="0.3">
      <c r="A215" s="6">
        <v>25</v>
      </c>
      <c r="B215" s="261"/>
      <c r="C215" s="259"/>
      <c r="D215" s="350" t="str">
        <f t="shared" ref="D215:D216" si="370">IF(B215+C215=0,"-",B215+C215)</f>
        <v>-</v>
      </c>
      <c r="E215" s="351"/>
      <c r="G215" s="17">
        <f t="shared" ref="G215:G216" si="371">B215/0.23</f>
        <v>0</v>
      </c>
      <c r="H215" s="18"/>
      <c r="I215" s="18"/>
      <c r="J215" s="19">
        <f t="shared" ref="J215:J216" si="372">C215/(0.23*1.732)</f>
        <v>0</v>
      </c>
      <c r="L215" s="257">
        <v>1.25</v>
      </c>
      <c r="M215" s="18">
        <f t="shared" ref="M215:M216" si="373">G215*L215</f>
        <v>0</v>
      </c>
      <c r="N215" s="19">
        <f t="shared" ref="N215:N216" si="374">J215*L215</f>
        <v>0</v>
      </c>
      <c r="O215" s="19" t="str">
        <f t="shared" ref="O215:O216" si="375">IF((M215+N215=0),"-",((MAX(G215:I215)*1.732)+J215)*L215)</f>
        <v>-</v>
      </c>
      <c r="P215" s="6"/>
      <c r="Q215" s="6"/>
      <c r="R215" s="6"/>
      <c r="S215" s="6"/>
      <c r="T215" s="6"/>
      <c r="X215" s="6"/>
      <c r="Y215" s="6"/>
      <c r="Z215" s="6"/>
    </row>
    <row r="216" spans="1:28" ht="14.25" customHeight="1" x14ac:dyDescent="0.3">
      <c r="A216" s="6">
        <v>26</v>
      </c>
      <c r="B216" s="261"/>
      <c r="C216" s="259"/>
      <c r="D216" s="350" t="str">
        <f t="shared" si="370"/>
        <v>-</v>
      </c>
      <c r="E216" s="351"/>
      <c r="G216" s="17">
        <f t="shared" si="371"/>
        <v>0</v>
      </c>
      <c r="H216" s="18"/>
      <c r="I216" s="18"/>
      <c r="J216" s="19">
        <f t="shared" si="372"/>
        <v>0</v>
      </c>
      <c r="L216" s="257">
        <v>1.25</v>
      </c>
      <c r="M216" s="18">
        <f t="shared" si="373"/>
        <v>0</v>
      </c>
      <c r="N216" s="19">
        <f t="shared" si="374"/>
        <v>0</v>
      </c>
      <c r="O216" s="19" t="str">
        <f t="shared" si="375"/>
        <v>-</v>
      </c>
      <c r="P216" s="6"/>
      <c r="Q216" s="6"/>
      <c r="R216" s="6"/>
      <c r="S216" s="6"/>
      <c r="T216" s="6"/>
      <c r="X216" s="6"/>
      <c r="Y216" s="6"/>
      <c r="Z216" s="6"/>
    </row>
    <row r="217" spans="1:28" ht="14.25" customHeight="1" x14ac:dyDescent="0.3">
      <c r="A217" s="6"/>
      <c r="B217" s="262"/>
      <c r="C217" s="263"/>
      <c r="D217" s="356"/>
      <c r="E217" s="357"/>
      <c r="G217" s="21"/>
      <c r="H217" s="22"/>
      <c r="I217" s="22"/>
      <c r="J217" s="24"/>
      <c r="L217" s="258"/>
      <c r="M217" s="22"/>
      <c r="N217" s="24"/>
      <c r="O217" s="24"/>
      <c r="P217" s="6"/>
      <c r="Q217" s="6"/>
      <c r="R217" s="6"/>
      <c r="S217" s="6"/>
      <c r="T217" s="6"/>
      <c r="X217" s="6"/>
      <c r="Y217" s="6"/>
      <c r="Z217" s="6"/>
    </row>
    <row r="218" spans="1:28" ht="14.25" customHeight="1" x14ac:dyDescent="0.3">
      <c r="A218" s="6">
        <v>27</v>
      </c>
      <c r="B218" s="261"/>
      <c r="C218" s="259"/>
      <c r="D218" s="350" t="str">
        <f t="shared" ref="D218:D219" si="376">IF(B218+C218=0,"-",B218+C218)</f>
        <v>-</v>
      </c>
      <c r="E218" s="351"/>
      <c r="G218" s="17"/>
      <c r="H218" s="18">
        <f t="shared" ref="H218:H219" si="377">B218/0.23</f>
        <v>0</v>
      </c>
      <c r="I218" s="18"/>
      <c r="J218" s="19">
        <f t="shared" ref="J218:J219" si="378">C218/(0.23*1.732)</f>
        <v>0</v>
      </c>
      <c r="L218" s="257">
        <v>1.25</v>
      </c>
      <c r="M218" s="18">
        <f t="shared" ref="M218:M219" si="379">H218*L218</f>
        <v>0</v>
      </c>
      <c r="N218" s="19">
        <f t="shared" ref="N218:N219" si="380">J218*L218</f>
        <v>0</v>
      </c>
      <c r="O218" s="19" t="str">
        <f t="shared" ref="O218:O219" si="381">IF((M218+N218=0),"-",((MAX(G218:I218)*1.732)+J218)*L218)</f>
        <v>-</v>
      </c>
      <c r="P218" s="6"/>
      <c r="Q218" s="6"/>
      <c r="R218" s="6"/>
      <c r="S218" s="6"/>
      <c r="T218" s="6"/>
      <c r="X218" s="6"/>
      <c r="Y218" s="6"/>
      <c r="Z218" s="6"/>
    </row>
    <row r="219" spans="1:28" ht="14.25" customHeight="1" x14ac:dyDescent="0.3">
      <c r="A219" s="6">
        <v>28</v>
      </c>
      <c r="B219" s="261"/>
      <c r="C219" s="259"/>
      <c r="D219" s="350" t="str">
        <f t="shared" si="376"/>
        <v>-</v>
      </c>
      <c r="E219" s="351"/>
      <c r="G219" s="17"/>
      <c r="H219" s="18">
        <f t="shared" si="377"/>
        <v>0</v>
      </c>
      <c r="I219" s="18"/>
      <c r="J219" s="19">
        <f t="shared" si="378"/>
        <v>0</v>
      </c>
      <c r="L219" s="257">
        <v>1.25</v>
      </c>
      <c r="M219" s="18">
        <f t="shared" si="379"/>
        <v>0</v>
      </c>
      <c r="N219" s="19">
        <f t="shared" si="380"/>
        <v>0</v>
      </c>
      <c r="O219" s="19" t="str">
        <f t="shared" si="381"/>
        <v>-</v>
      </c>
      <c r="P219" s="6"/>
      <c r="Q219" s="6"/>
      <c r="R219" s="6"/>
      <c r="S219" s="6"/>
      <c r="T219" s="6"/>
      <c r="X219" s="6"/>
      <c r="Y219" s="6"/>
      <c r="Z219" s="6"/>
    </row>
    <row r="220" spans="1:28" ht="14.25" customHeight="1" x14ac:dyDescent="0.3">
      <c r="A220" s="6"/>
      <c r="B220" s="262"/>
      <c r="C220" s="263"/>
      <c r="D220" s="356"/>
      <c r="E220" s="357"/>
      <c r="G220" s="21"/>
      <c r="H220" s="22"/>
      <c r="I220" s="22"/>
      <c r="J220" s="24"/>
      <c r="L220" s="258"/>
      <c r="M220" s="22"/>
      <c r="N220" s="24"/>
      <c r="O220" s="24"/>
      <c r="P220" s="6"/>
      <c r="Q220" s="6"/>
      <c r="R220" s="6"/>
      <c r="S220" s="6"/>
      <c r="T220" s="6"/>
      <c r="X220" s="6"/>
      <c r="Y220" s="6"/>
      <c r="Z220" s="6"/>
    </row>
    <row r="221" spans="1:28" ht="14.25" customHeight="1" x14ac:dyDescent="0.3">
      <c r="A221" s="6">
        <v>29</v>
      </c>
      <c r="B221" s="261"/>
      <c r="C221" s="259"/>
      <c r="D221" s="350" t="str">
        <f t="shared" ref="D221:D222" si="382">IF(B221+C221=0,"-",B221+C221)</f>
        <v>-</v>
      </c>
      <c r="E221" s="351"/>
      <c r="G221" s="48"/>
      <c r="H221" s="18"/>
      <c r="I221" s="18">
        <f t="shared" ref="I221:I222" si="383">B221/0.23</f>
        <v>0</v>
      </c>
      <c r="J221" s="19">
        <f t="shared" ref="J221:J222" si="384">C221/(0.23*1.732)</f>
        <v>0</v>
      </c>
      <c r="L221" s="257">
        <v>1.25</v>
      </c>
      <c r="M221" s="18">
        <f t="shared" ref="M221:M222" si="385">I221*L221</f>
        <v>0</v>
      </c>
      <c r="N221" s="19">
        <f t="shared" ref="N221:N222" si="386">J221*L221</f>
        <v>0</v>
      </c>
      <c r="O221" s="19" t="str">
        <f t="shared" ref="O221:O222" si="387">IF((M221+N221=0),"-",((MAX(G221:I221)*1.732)+J221)*L221)</f>
        <v>-</v>
      </c>
      <c r="P221" s="6"/>
      <c r="Q221" s="6"/>
      <c r="R221" s="6"/>
      <c r="S221" s="6"/>
      <c r="T221" s="6"/>
      <c r="X221" s="6"/>
      <c r="Y221" s="6"/>
      <c r="Z221" s="6"/>
    </row>
    <row r="222" spans="1:28" ht="14.25" customHeight="1" x14ac:dyDescent="0.3">
      <c r="A222" s="6">
        <v>30</v>
      </c>
      <c r="B222" s="261"/>
      <c r="C222" s="259"/>
      <c r="D222" s="350" t="str">
        <f t="shared" si="382"/>
        <v>-</v>
      </c>
      <c r="E222" s="351"/>
      <c r="G222" s="17"/>
      <c r="H222" s="18"/>
      <c r="I222" s="18">
        <f t="shared" si="383"/>
        <v>0</v>
      </c>
      <c r="J222" s="19">
        <f t="shared" si="384"/>
        <v>0</v>
      </c>
      <c r="L222" s="257">
        <v>1.25</v>
      </c>
      <c r="M222" s="18">
        <f t="shared" si="385"/>
        <v>0</v>
      </c>
      <c r="N222" s="19">
        <f t="shared" si="386"/>
        <v>0</v>
      </c>
      <c r="O222" s="19" t="str">
        <f t="shared" si="387"/>
        <v>-</v>
      </c>
      <c r="P222" s="6"/>
      <c r="Q222" s="6"/>
      <c r="R222" s="6"/>
      <c r="S222" s="6"/>
      <c r="T222" s="6"/>
      <c r="X222" s="6"/>
      <c r="Y222" s="6"/>
      <c r="Z222" s="6"/>
    </row>
    <row r="223" spans="1:28" ht="14.25" customHeight="1" x14ac:dyDescent="0.3">
      <c r="B223" s="262"/>
      <c r="C223" s="263"/>
      <c r="D223" s="356"/>
      <c r="E223" s="357"/>
      <c r="G223" s="21"/>
      <c r="H223" s="22"/>
      <c r="I223" s="22"/>
      <c r="J223" s="24"/>
      <c r="L223" s="258"/>
      <c r="M223" s="22"/>
      <c r="N223" s="24"/>
      <c r="O223" s="24"/>
      <c r="P223" s="6"/>
      <c r="Q223" s="6"/>
      <c r="R223" s="6"/>
      <c r="S223" s="6"/>
      <c r="T223" s="6"/>
      <c r="X223" s="6"/>
      <c r="Y223" s="6"/>
      <c r="Z223" s="6"/>
    </row>
    <row r="224" spans="1:28" ht="14.25" customHeight="1" x14ac:dyDescent="0.3">
      <c r="B224" s="261"/>
      <c r="C224" s="259"/>
      <c r="D224" s="350"/>
      <c r="E224" s="351"/>
      <c r="G224" s="12"/>
      <c r="J224" s="13"/>
      <c r="L224" s="257"/>
      <c r="M224" s="18"/>
      <c r="N224" s="19"/>
      <c r="O224" s="19"/>
      <c r="P224" s="6"/>
      <c r="Q224" s="6"/>
      <c r="R224" s="6"/>
      <c r="S224" s="6"/>
      <c r="T224" s="6"/>
      <c r="X224" s="6"/>
      <c r="Y224" s="6"/>
      <c r="Z224" s="6"/>
    </row>
    <row r="225" spans="1:28" ht="14.25" customHeight="1" x14ac:dyDescent="0.3">
      <c r="B225" s="261"/>
      <c r="C225" s="259"/>
      <c r="D225" s="350"/>
      <c r="E225" s="351"/>
      <c r="G225" s="12"/>
      <c r="J225" s="13"/>
      <c r="L225" s="257"/>
      <c r="M225" s="18"/>
      <c r="N225" s="19"/>
      <c r="O225" s="19"/>
      <c r="P225" s="6"/>
      <c r="Q225" s="6"/>
      <c r="R225" s="6"/>
      <c r="S225" s="6"/>
      <c r="T225" s="6"/>
      <c r="X225" s="6"/>
      <c r="Y225" s="6"/>
      <c r="Z225" s="6"/>
    </row>
    <row r="226" spans="1:28" ht="14.25" customHeight="1" x14ac:dyDescent="0.3">
      <c r="B226" s="12"/>
      <c r="C226" s="6"/>
      <c r="D226" s="350"/>
      <c r="E226" s="351"/>
      <c r="G226" s="12"/>
      <c r="J226" s="13"/>
      <c r="L226" s="20"/>
      <c r="M226" s="18"/>
      <c r="N226" s="19"/>
      <c r="O226" s="19"/>
      <c r="P226" s="6"/>
      <c r="Q226" s="6"/>
      <c r="R226" s="6"/>
      <c r="S226" s="6"/>
      <c r="T226" s="6"/>
      <c r="X226" s="6"/>
      <c r="Y226" s="6"/>
      <c r="Z226" s="6"/>
    </row>
    <row r="227" spans="1:28" ht="14.25" customHeight="1" x14ac:dyDescent="0.3">
      <c r="B227" s="52">
        <f t="shared" ref="B227:C227" si="388">SUM(B179:B222)</f>
        <v>2.46</v>
      </c>
      <c r="C227" s="40">
        <f t="shared" si="388"/>
        <v>502.38</v>
      </c>
      <c r="D227" s="358">
        <f>B227+C227</f>
        <v>504.84</v>
      </c>
      <c r="E227" s="359"/>
      <c r="G227" s="42">
        <f t="shared" ref="G227:J227" si="389">SUM(G178:G222)</f>
        <v>8.695652173913043</v>
      </c>
      <c r="H227" s="43">
        <f t="shared" si="389"/>
        <v>1</v>
      </c>
      <c r="I227" s="43">
        <f t="shared" si="389"/>
        <v>1</v>
      </c>
      <c r="J227" s="44">
        <f t="shared" si="389"/>
        <v>1261.1205944371925</v>
      </c>
      <c r="L227" s="45">
        <v>1.25</v>
      </c>
      <c r="M227" s="43">
        <f>MAX(G227:I227)*L227</f>
        <v>10.869565217391305</v>
      </c>
      <c r="N227" s="44">
        <f>J227*L227</f>
        <v>1576.4007430464906</v>
      </c>
      <c r="O227" s="44">
        <f>((MAX(G227:I227)*1.732)+J227)*L227</f>
        <v>1595.2268300030123</v>
      </c>
    </row>
    <row r="228" spans="1:28" ht="14.25" customHeight="1" x14ac:dyDescent="0.3"/>
    <row r="229" spans="1:28" ht="14.25" customHeight="1" x14ac:dyDescent="0.3"/>
    <row r="230" spans="1:28" ht="14.25" customHeight="1" x14ac:dyDescent="0.3"/>
    <row r="231" spans="1:28" ht="14.25" customHeight="1" x14ac:dyDescent="0.3"/>
    <row r="232" spans="1:28" ht="14.25" customHeight="1" x14ac:dyDescent="0.3"/>
    <row r="233" spans="1:28" ht="14.25" customHeight="1" x14ac:dyDescent="0.3">
      <c r="B233" s="344" t="s">
        <v>33</v>
      </c>
      <c r="C233" s="345"/>
      <c r="D233" s="345"/>
      <c r="E233" s="346"/>
    </row>
    <row r="234" spans="1:28" ht="14.25" customHeight="1" x14ac:dyDescent="0.3"/>
    <row r="235" spans="1:28" ht="14.25" customHeight="1" x14ac:dyDescent="0.3">
      <c r="C235" s="53" t="s">
        <v>1</v>
      </c>
      <c r="E235" s="54"/>
      <c r="G235" s="1" t="s">
        <v>2</v>
      </c>
      <c r="H235" s="53" t="s">
        <v>23</v>
      </c>
      <c r="I235" s="55"/>
      <c r="J235" s="55"/>
      <c r="L235" s="53" t="s">
        <v>4</v>
      </c>
      <c r="M235" s="47"/>
      <c r="N235" s="47"/>
      <c r="P235" s="280"/>
      <c r="S235" s="6"/>
      <c r="T235" s="6"/>
      <c r="U235" s="6"/>
      <c r="V235" s="6"/>
      <c r="W235" s="6"/>
      <c r="AA235" s="6"/>
      <c r="AB235" s="6"/>
    </row>
    <row r="236" spans="1:28" ht="14.25" customHeight="1" x14ac:dyDescent="0.3">
      <c r="A236" s="6"/>
      <c r="C236" s="1" t="s">
        <v>9</v>
      </c>
      <c r="E236" s="47"/>
      <c r="G236" s="10"/>
      <c r="H236" s="10" t="s">
        <v>9</v>
      </c>
      <c r="I236" s="47"/>
      <c r="J236" s="47"/>
      <c r="L236" s="53" t="s">
        <v>9</v>
      </c>
      <c r="M236" s="47"/>
      <c r="N236" s="47"/>
      <c r="P236" s="47"/>
      <c r="S236" s="6"/>
      <c r="T236" s="6"/>
      <c r="U236" s="6"/>
      <c r="V236" s="6"/>
      <c r="W236" s="6"/>
      <c r="AA236" s="6"/>
      <c r="AB236" s="6"/>
    </row>
    <row r="237" spans="1:28" ht="14.25" customHeight="1" x14ac:dyDescent="0.3">
      <c r="A237" s="6"/>
      <c r="C237" s="20"/>
      <c r="E237" s="6"/>
      <c r="G237" s="14"/>
      <c r="H237" s="14"/>
      <c r="I237" s="6"/>
      <c r="J237" s="6"/>
      <c r="L237" s="20"/>
      <c r="M237" s="6"/>
      <c r="N237" s="6"/>
      <c r="P237" s="6"/>
      <c r="S237" s="6"/>
      <c r="T237" s="6"/>
      <c r="U237" s="6"/>
      <c r="V237" s="6"/>
      <c r="W237" s="6"/>
      <c r="AA237" s="6"/>
      <c r="AB237" s="6"/>
    </row>
    <row r="238" spans="1:28" ht="14.25" customHeight="1" x14ac:dyDescent="0.3">
      <c r="A238" s="6">
        <v>1</v>
      </c>
      <c r="C238" s="281">
        <v>14.5</v>
      </c>
      <c r="E238" s="18"/>
      <c r="G238" s="257">
        <v>1.25</v>
      </c>
      <c r="H238" s="56">
        <f t="shared" ref="H238:H239" si="390">C238*G238</f>
        <v>18.125</v>
      </c>
      <c r="I238" s="18"/>
      <c r="J238" s="18"/>
      <c r="L238" s="56">
        <f t="shared" ref="L238:L239" si="391">C238*0.23</f>
        <v>3.335</v>
      </c>
      <c r="M238" s="18"/>
      <c r="N238" s="18"/>
      <c r="P238" s="18"/>
      <c r="S238" s="6"/>
      <c r="T238" s="6"/>
      <c r="U238" s="6"/>
      <c r="V238" s="6"/>
      <c r="W238" s="6"/>
      <c r="AA238" s="6"/>
      <c r="AB238" s="6"/>
    </row>
    <row r="239" spans="1:28" ht="14.25" customHeight="1" x14ac:dyDescent="0.3">
      <c r="A239" s="6">
        <v>2</v>
      </c>
      <c r="C239" s="281">
        <v>15.22</v>
      </c>
      <c r="E239" s="18"/>
      <c r="G239" s="257">
        <v>1.25</v>
      </c>
      <c r="H239" s="56">
        <f t="shared" si="390"/>
        <v>19.025000000000002</v>
      </c>
      <c r="I239" s="18"/>
      <c r="J239" s="18"/>
      <c r="L239" s="56">
        <f t="shared" si="391"/>
        <v>3.5006000000000004</v>
      </c>
      <c r="M239" s="18"/>
      <c r="N239" s="18"/>
      <c r="P239" s="18"/>
      <c r="S239" s="6"/>
      <c r="T239" s="6"/>
      <c r="U239" s="6"/>
      <c r="V239" s="6"/>
      <c r="W239" s="6"/>
      <c r="AA239" s="6"/>
      <c r="AB239" s="6"/>
    </row>
    <row r="240" spans="1:28" ht="14.25" customHeight="1" x14ac:dyDescent="0.3">
      <c r="A240" s="6"/>
      <c r="C240" s="258"/>
      <c r="E240" s="18"/>
      <c r="G240" s="258"/>
      <c r="H240" s="23"/>
      <c r="I240" s="18"/>
      <c r="J240" s="18"/>
      <c r="L240" s="57"/>
      <c r="M240" s="18"/>
      <c r="N240" s="18"/>
      <c r="P240" s="18"/>
      <c r="R240" s="29"/>
      <c r="S240" s="349" t="s">
        <v>9</v>
      </c>
      <c r="T240" s="345"/>
      <c r="U240" s="346"/>
      <c r="V240" s="47"/>
      <c r="W240" s="47"/>
      <c r="Y240" s="30" t="s">
        <v>11</v>
      </c>
      <c r="Z240" s="15"/>
      <c r="AA240" s="15"/>
      <c r="AB240" s="16"/>
    </row>
    <row r="241" spans="1:28" ht="14.25" customHeight="1" x14ac:dyDescent="0.3">
      <c r="A241" s="6">
        <v>3</v>
      </c>
      <c r="C241" s="281">
        <v>2.17</v>
      </c>
      <c r="E241" s="18"/>
      <c r="G241" s="257">
        <v>1.25</v>
      </c>
      <c r="H241" s="56">
        <f t="shared" ref="H241:H242" si="392">C241*G241</f>
        <v>2.7124999999999999</v>
      </c>
      <c r="I241" s="18"/>
      <c r="J241" s="18"/>
      <c r="L241" s="56">
        <f t="shared" ref="L241:L242" si="393">C241*0.23</f>
        <v>0.49909999999999999</v>
      </c>
      <c r="M241" s="18"/>
      <c r="N241" s="18"/>
      <c r="P241" s="18"/>
      <c r="R241" s="58"/>
      <c r="T241" s="6"/>
      <c r="U241" s="13"/>
      <c r="V241" s="6"/>
      <c r="W241" s="6"/>
      <c r="Y241" s="31"/>
      <c r="Z241" s="259">
        <v>0.8</v>
      </c>
      <c r="AB241" s="19">
        <f t="shared" ref="AB241:AB247" si="394">$T$242*Z241</f>
        <v>6.5964</v>
      </c>
    </row>
    <row r="242" spans="1:28" ht="14.25" customHeight="1" x14ac:dyDescent="0.3">
      <c r="A242" s="6">
        <v>4</v>
      </c>
      <c r="C242" s="335">
        <v>3.13</v>
      </c>
      <c r="E242" s="18"/>
      <c r="G242" s="257">
        <v>1.25</v>
      </c>
      <c r="H242" s="56">
        <f t="shared" si="392"/>
        <v>3.9124999999999996</v>
      </c>
      <c r="I242" s="18"/>
      <c r="J242" s="18"/>
      <c r="L242" s="56">
        <f t="shared" si="393"/>
        <v>0.71989999999999998</v>
      </c>
      <c r="M242" s="18"/>
      <c r="N242" s="18"/>
      <c r="P242" s="18"/>
      <c r="R242" s="59" t="s">
        <v>12</v>
      </c>
      <c r="T242" s="60">
        <f>C286*0.23</f>
        <v>8.2454999999999998</v>
      </c>
      <c r="U242" s="19"/>
      <c r="V242" s="18"/>
      <c r="W242" s="18"/>
      <c r="Y242" s="31"/>
      <c r="Z242" s="259">
        <v>0.7</v>
      </c>
      <c r="AB242" s="19">
        <f t="shared" si="394"/>
        <v>5.7718499999999997</v>
      </c>
    </row>
    <row r="243" spans="1:28" ht="14.25" customHeight="1" x14ac:dyDescent="0.3">
      <c r="A243" s="6"/>
      <c r="C243" s="258"/>
      <c r="E243" s="18"/>
      <c r="G243" s="258"/>
      <c r="H243" s="23"/>
      <c r="I243" s="18"/>
      <c r="J243" s="18"/>
      <c r="L243" s="57"/>
      <c r="M243" s="18"/>
      <c r="N243" s="18"/>
      <c r="P243" s="18"/>
      <c r="R243" s="61"/>
      <c r="S243" s="62"/>
      <c r="T243" s="40"/>
      <c r="U243" s="41"/>
      <c r="V243" s="6"/>
      <c r="W243" s="6"/>
      <c r="Y243" s="31"/>
      <c r="Z243" s="259">
        <v>0.6</v>
      </c>
      <c r="AB243" s="19">
        <f t="shared" si="394"/>
        <v>4.9472999999999994</v>
      </c>
    </row>
    <row r="244" spans="1:28" ht="14.25" customHeight="1" x14ac:dyDescent="0.3">
      <c r="A244" s="6">
        <v>5</v>
      </c>
      <c r="C244" s="281">
        <v>0.83</v>
      </c>
      <c r="E244" s="18"/>
      <c r="G244" s="257">
        <v>1.25</v>
      </c>
      <c r="H244" s="56">
        <f t="shared" ref="H244:H245" si="395">C244*G244</f>
        <v>1.0374999999999999</v>
      </c>
      <c r="I244" s="18"/>
      <c r="J244" s="18"/>
      <c r="L244" s="56">
        <f t="shared" ref="L244:L245" si="396">C244*0.23</f>
        <v>0.19089999999999999</v>
      </c>
      <c r="M244" s="18"/>
      <c r="N244" s="18"/>
      <c r="P244" s="18"/>
      <c r="R244" s="47"/>
      <c r="T244" s="18"/>
      <c r="U244" s="18"/>
      <c r="V244" s="6"/>
      <c r="W244" s="18"/>
      <c r="Y244" s="31"/>
      <c r="Z244" s="259">
        <v>0.5</v>
      </c>
      <c r="AB244" s="19">
        <f t="shared" si="394"/>
        <v>4.1227499999999999</v>
      </c>
    </row>
    <row r="245" spans="1:28" ht="14.25" customHeight="1" x14ac:dyDescent="0.3">
      <c r="A245" s="6">
        <v>6</v>
      </c>
      <c r="C245" s="281"/>
      <c r="E245" s="18"/>
      <c r="G245" s="257">
        <v>1.25</v>
      </c>
      <c r="H245" s="56">
        <f t="shared" si="395"/>
        <v>0</v>
      </c>
      <c r="I245" s="18"/>
      <c r="J245" s="18"/>
      <c r="L245" s="56">
        <f t="shared" si="396"/>
        <v>0</v>
      </c>
      <c r="M245" s="18"/>
      <c r="N245" s="18"/>
      <c r="P245" s="18"/>
      <c r="R245" s="6"/>
      <c r="T245" s="6"/>
      <c r="U245" s="6"/>
      <c r="V245" s="6"/>
      <c r="W245" s="6"/>
      <c r="Y245" s="31"/>
      <c r="Z245" s="259">
        <v>0.4</v>
      </c>
      <c r="AB245" s="19">
        <f t="shared" si="394"/>
        <v>3.2982</v>
      </c>
    </row>
    <row r="246" spans="1:28" ht="14.25" customHeight="1" x14ac:dyDescent="0.3">
      <c r="A246" s="6"/>
      <c r="C246" s="258"/>
      <c r="E246" s="18"/>
      <c r="G246" s="258"/>
      <c r="H246" s="23"/>
      <c r="I246" s="18"/>
      <c r="J246" s="18"/>
      <c r="L246" s="57"/>
      <c r="M246" s="18"/>
      <c r="N246" s="18"/>
      <c r="P246" s="18"/>
      <c r="R246" s="47"/>
      <c r="T246" s="60"/>
      <c r="U246" s="18"/>
      <c r="V246" s="18"/>
      <c r="W246" s="18"/>
      <c r="Y246" s="31"/>
      <c r="Z246" s="259">
        <v>0.28999999999999998</v>
      </c>
      <c r="AB246" s="19">
        <f t="shared" si="394"/>
        <v>2.3911949999999997</v>
      </c>
    </row>
    <row r="247" spans="1:28" ht="14.25" customHeight="1" x14ac:dyDescent="0.3">
      <c r="A247" s="6">
        <v>7</v>
      </c>
      <c r="C247" s="281"/>
      <c r="E247" s="18"/>
      <c r="G247" s="257">
        <v>1.25</v>
      </c>
      <c r="H247" s="56">
        <f t="shared" ref="H247:H248" si="397">C247*G247</f>
        <v>0</v>
      </c>
      <c r="I247" s="18"/>
      <c r="J247" s="18"/>
      <c r="L247" s="56">
        <f t="shared" ref="L247:L248" si="398">C247*0.23</f>
        <v>0</v>
      </c>
      <c r="M247" s="18"/>
      <c r="N247" s="18"/>
      <c r="P247" s="18"/>
      <c r="S247" s="6"/>
      <c r="T247" s="6"/>
      <c r="U247" s="6"/>
      <c r="V247" s="6"/>
      <c r="W247" s="6"/>
      <c r="Y247" s="31"/>
      <c r="Z247" s="259">
        <v>0.2</v>
      </c>
      <c r="AB247" s="19">
        <f t="shared" si="394"/>
        <v>1.6491</v>
      </c>
    </row>
    <row r="248" spans="1:28" ht="14.25" customHeight="1" x14ac:dyDescent="0.3">
      <c r="A248" s="6">
        <v>8</v>
      </c>
      <c r="C248" s="281"/>
      <c r="E248" s="18"/>
      <c r="G248" s="257">
        <v>1.25</v>
      </c>
      <c r="H248" s="56">
        <f t="shared" si="397"/>
        <v>0</v>
      </c>
      <c r="I248" s="18"/>
      <c r="J248" s="18"/>
      <c r="L248" s="56">
        <f t="shared" si="398"/>
        <v>0</v>
      </c>
      <c r="M248" s="18"/>
      <c r="N248" s="18"/>
      <c r="P248" s="18"/>
      <c r="S248" s="6"/>
      <c r="T248" s="6"/>
      <c r="U248" s="6"/>
      <c r="V248" s="6"/>
      <c r="W248" s="6"/>
      <c r="Y248" s="31"/>
      <c r="Z248" s="6"/>
      <c r="AA248" s="6"/>
      <c r="AB248" s="13"/>
    </row>
    <row r="249" spans="1:28" ht="14.25" customHeight="1" x14ac:dyDescent="0.3">
      <c r="A249" s="6"/>
      <c r="C249" s="258"/>
      <c r="E249" s="18"/>
      <c r="G249" s="258"/>
      <c r="H249" s="23"/>
      <c r="I249" s="18"/>
      <c r="J249" s="18"/>
      <c r="L249" s="57"/>
      <c r="M249" s="18"/>
      <c r="N249" s="18"/>
      <c r="P249" s="18"/>
      <c r="S249" s="6"/>
      <c r="T249" s="6"/>
      <c r="U249" s="6"/>
      <c r="V249" s="6"/>
      <c r="W249" s="6"/>
      <c r="Y249" s="38" t="s">
        <v>15</v>
      </c>
      <c r="Z249" s="259">
        <v>0.8</v>
      </c>
      <c r="AA249" s="259"/>
      <c r="AB249" s="13">
        <f t="shared" ref="AB249:AB254" si="399">AA249*Z249</f>
        <v>0</v>
      </c>
    </row>
    <row r="250" spans="1:28" ht="14.25" customHeight="1" x14ac:dyDescent="0.3">
      <c r="A250" s="6">
        <v>9</v>
      </c>
      <c r="C250" s="281"/>
      <c r="E250" s="18"/>
      <c r="G250" s="257">
        <v>1.25</v>
      </c>
      <c r="H250" s="56">
        <f t="shared" ref="H250:H251" si="400">C250*G250</f>
        <v>0</v>
      </c>
      <c r="I250" s="18"/>
      <c r="J250" s="18"/>
      <c r="L250" s="56">
        <f t="shared" ref="L250:L251" si="401">C250*0.23</f>
        <v>0</v>
      </c>
      <c r="M250" s="18"/>
      <c r="N250" s="18"/>
      <c r="P250" s="18"/>
      <c r="S250" s="6"/>
      <c r="T250" s="6"/>
      <c r="U250" s="6"/>
      <c r="V250" s="6"/>
      <c r="W250" s="6"/>
      <c r="Y250" s="31"/>
      <c r="Z250" s="259">
        <v>0.7</v>
      </c>
      <c r="AA250" s="259"/>
      <c r="AB250" s="13">
        <f t="shared" si="399"/>
        <v>0</v>
      </c>
    </row>
    <row r="251" spans="1:28" ht="14.25" customHeight="1" x14ac:dyDescent="0.3">
      <c r="A251" s="6">
        <v>10</v>
      </c>
      <c r="C251" s="281"/>
      <c r="E251" s="18"/>
      <c r="G251" s="257">
        <v>1.25</v>
      </c>
      <c r="H251" s="56">
        <f t="shared" si="400"/>
        <v>0</v>
      </c>
      <c r="I251" s="18"/>
      <c r="J251" s="18"/>
      <c r="L251" s="56">
        <f t="shared" si="401"/>
        <v>0</v>
      </c>
      <c r="M251" s="18"/>
      <c r="N251" s="18"/>
      <c r="P251" s="18"/>
      <c r="R251" s="30" t="s">
        <v>16</v>
      </c>
      <c r="S251" s="15"/>
      <c r="T251" s="15"/>
      <c r="U251" s="16"/>
      <c r="V251" s="6"/>
      <c r="W251" s="6"/>
      <c r="Y251" s="31"/>
      <c r="Z251" s="259">
        <v>0.6</v>
      </c>
      <c r="AA251" s="259"/>
      <c r="AB251" s="13">
        <f t="shared" si="399"/>
        <v>0</v>
      </c>
    </row>
    <row r="252" spans="1:28" ht="14.25" customHeight="1" x14ac:dyDescent="0.3">
      <c r="A252" s="6"/>
      <c r="C252" s="258"/>
      <c r="E252" s="18"/>
      <c r="G252" s="258"/>
      <c r="H252" s="23"/>
      <c r="I252" s="18"/>
      <c r="J252" s="18"/>
      <c r="L252" s="57"/>
      <c r="M252" s="18"/>
      <c r="N252" s="18"/>
      <c r="P252" s="18"/>
      <c r="R252" s="31"/>
      <c r="S252" s="6"/>
      <c r="T252" s="6" t="s">
        <v>9</v>
      </c>
      <c r="U252" s="13"/>
      <c r="V252" s="6"/>
      <c r="W252" s="6"/>
      <c r="Y252" s="31"/>
      <c r="Z252" s="259">
        <v>0.5</v>
      </c>
      <c r="AA252" s="259"/>
      <c r="AB252" s="13">
        <f t="shared" si="399"/>
        <v>0</v>
      </c>
    </row>
    <row r="253" spans="1:28" ht="14.25" customHeight="1" x14ac:dyDescent="0.3">
      <c r="A253" s="6">
        <v>11</v>
      </c>
      <c r="C253" s="281"/>
      <c r="E253" s="18"/>
      <c r="G253" s="257">
        <v>1.25</v>
      </c>
      <c r="H253" s="56">
        <f t="shared" ref="H253:H254" si="402">C253*G253</f>
        <v>0</v>
      </c>
      <c r="I253" s="18"/>
      <c r="J253" s="18"/>
      <c r="L253" s="56">
        <f t="shared" ref="L253:L254" si="403">C253*0.23</f>
        <v>0</v>
      </c>
      <c r="M253" s="18"/>
      <c r="N253" s="18"/>
      <c r="P253" s="18"/>
      <c r="R253" s="31"/>
      <c r="S253" s="6"/>
      <c r="T253" s="6"/>
      <c r="U253" s="13"/>
      <c r="V253" s="6"/>
      <c r="W253" s="6"/>
      <c r="Y253" s="31"/>
      <c r="Z253" s="259">
        <v>0.4</v>
      </c>
      <c r="AA253" s="259"/>
      <c r="AB253" s="13">
        <f t="shared" si="399"/>
        <v>0</v>
      </c>
    </row>
    <row r="254" spans="1:28" ht="14.25" customHeight="1" x14ac:dyDescent="0.3">
      <c r="A254" s="6">
        <v>12</v>
      </c>
      <c r="C254" s="281"/>
      <c r="E254" s="18"/>
      <c r="G254" s="257">
        <v>1.25</v>
      </c>
      <c r="H254" s="56">
        <f t="shared" si="402"/>
        <v>0</v>
      </c>
      <c r="I254" s="18"/>
      <c r="J254" s="18"/>
      <c r="L254" s="56">
        <f t="shared" si="403"/>
        <v>0</v>
      </c>
      <c r="M254" s="18"/>
      <c r="N254" s="18"/>
      <c r="P254" s="18"/>
      <c r="R254" s="31" t="s">
        <v>1</v>
      </c>
      <c r="S254" s="6"/>
      <c r="T254" s="18">
        <f>C286</f>
        <v>35.85</v>
      </c>
      <c r="U254" s="19"/>
      <c r="V254" s="6"/>
      <c r="W254" s="6"/>
      <c r="Y254" s="39"/>
      <c r="Z254" s="260">
        <v>0.3</v>
      </c>
      <c r="AA254" s="260"/>
      <c r="AB254" s="41">
        <f t="shared" si="399"/>
        <v>0</v>
      </c>
    </row>
    <row r="255" spans="1:28" ht="14.25" customHeight="1" x14ac:dyDescent="0.3">
      <c r="A255" s="6"/>
      <c r="C255" s="258"/>
      <c r="E255" s="18"/>
      <c r="G255" s="258"/>
      <c r="H255" s="23"/>
      <c r="I255" s="18"/>
      <c r="J255" s="18"/>
      <c r="L255" s="57"/>
      <c r="M255" s="18"/>
      <c r="N255" s="18"/>
      <c r="P255" s="18"/>
      <c r="R255" s="31"/>
      <c r="S255" s="6"/>
      <c r="T255" s="6"/>
      <c r="U255" s="13"/>
      <c r="V255" s="6"/>
      <c r="W255" s="6"/>
      <c r="Z255" s="6"/>
      <c r="AA255" s="6"/>
      <c r="AB255" s="6"/>
    </row>
    <row r="256" spans="1:28" ht="14.25" customHeight="1" x14ac:dyDescent="0.3">
      <c r="A256" s="6">
        <v>13</v>
      </c>
      <c r="C256" s="281"/>
      <c r="E256" s="18"/>
      <c r="G256" s="257">
        <v>1.25</v>
      </c>
      <c r="H256" s="56">
        <f t="shared" ref="H256:H257" si="404">C256*G256</f>
        <v>0</v>
      </c>
      <c r="I256" s="18"/>
      <c r="J256" s="18"/>
      <c r="L256" s="56">
        <f t="shared" ref="L256:L257" si="405">C256*0.23</f>
        <v>0</v>
      </c>
      <c r="M256" s="18"/>
      <c r="N256" s="18"/>
      <c r="P256" s="18"/>
      <c r="R256" s="31"/>
      <c r="S256" s="6"/>
      <c r="T256" s="18"/>
      <c r="U256" s="13"/>
      <c r="V256" s="6"/>
      <c r="W256" s="6"/>
      <c r="Z256" s="6"/>
      <c r="AA256" s="6"/>
      <c r="AB256" s="6"/>
    </row>
    <row r="257" spans="1:28" ht="14.25" customHeight="1" x14ac:dyDescent="0.3">
      <c r="A257" s="6">
        <v>14</v>
      </c>
      <c r="C257" s="281"/>
      <c r="E257" s="18"/>
      <c r="G257" s="257">
        <v>1.25</v>
      </c>
      <c r="H257" s="56">
        <f t="shared" si="404"/>
        <v>0</v>
      </c>
      <c r="I257" s="18"/>
      <c r="J257" s="18"/>
      <c r="L257" s="56">
        <f t="shared" si="405"/>
        <v>0</v>
      </c>
      <c r="M257" s="18"/>
      <c r="N257" s="18"/>
      <c r="P257" s="18"/>
      <c r="R257" s="31"/>
      <c r="S257" s="6"/>
      <c r="T257" s="6"/>
      <c r="U257" s="13"/>
      <c r="V257" s="6"/>
      <c r="W257" s="6"/>
      <c r="Z257" s="6"/>
      <c r="AA257" s="6"/>
      <c r="AB257" s="6"/>
    </row>
    <row r="258" spans="1:28" ht="14.25" customHeight="1" x14ac:dyDescent="0.3">
      <c r="A258" s="6"/>
      <c r="C258" s="258"/>
      <c r="E258" s="18"/>
      <c r="G258" s="258"/>
      <c r="H258" s="23"/>
      <c r="I258" s="18"/>
      <c r="J258" s="18"/>
      <c r="L258" s="57"/>
      <c r="M258" s="18"/>
      <c r="N258" s="18"/>
      <c r="P258" s="18"/>
      <c r="R258" s="39" t="s">
        <v>18</v>
      </c>
      <c r="S258" s="40"/>
      <c r="T258" s="50">
        <f>T254*1.25</f>
        <v>44.8125</v>
      </c>
      <c r="U258" s="41"/>
      <c r="V258" s="6"/>
      <c r="W258" s="6"/>
      <c r="Y258" s="30" t="s">
        <v>19</v>
      </c>
      <c r="Z258" s="15"/>
      <c r="AA258" s="15"/>
      <c r="AB258" s="16"/>
    </row>
    <row r="259" spans="1:28" ht="14.25" customHeight="1" x14ac:dyDescent="0.3">
      <c r="A259" s="6">
        <v>15</v>
      </c>
      <c r="C259" s="281"/>
      <c r="E259" s="18"/>
      <c r="G259" s="257">
        <v>1.25</v>
      </c>
      <c r="H259" s="56">
        <f t="shared" ref="H259:H260" si="406">C259*G259</f>
        <v>0</v>
      </c>
      <c r="I259" s="18"/>
      <c r="J259" s="18"/>
      <c r="L259" s="56">
        <f t="shared" ref="L259:L260" si="407">C259*0.23</f>
        <v>0</v>
      </c>
      <c r="M259" s="18"/>
      <c r="N259" s="18"/>
      <c r="P259" s="18"/>
      <c r="S259" s="6"/>
      <c r="T259" s="6"/>
      <c r="U259" s="6"/>
      <c r="V259" s="6"/>
      <c r="W259" s="6"/>
      <c r="Y259" s="31"/>
      <c r="Z259" s="259">
        <v>0.8</v>
      </c>
      <c r="AB259" s="19">
        <f t="shared" ref="AB259:AB265" si="408">$T$258*Z259</f>
        <v>35.85</v>
      </c>
    </row>
    <row r="260" spans="1:28" ht="14.25" customHeight="1" x14ac:dyDescent="0.3">
      <c r="A260" s="6">
        <v>16</v>
      </c>
      <c r="C260" s="281"/>
      <c r="E260" s="18"/>
      <c r="G260" s="257">
        <v>1.25</v>
      </c>
      <c r="H260" s="56">
        <f t="shared" si="406"/>
        <v>0</v>
      </c>
      <c r="I260" s="18"/>
      <c r="J260" s="18"/>
      <c r="L260" s="56">
        <f t="shared" si="407"/>
        <v>0</v>
      </c>
      <c r="M260" s="18"/>
      <c r="N260" s="18"/>
      <c r="P260" s="18"/>
      <c r="S260" s="6"/>
      <c r="T260" s="6"/>
      <c r="U260" s="6"/>
      <c r="V260" s="6"/>
      <c r="W260" s="6"/>
      <c r="Y260" s="31"/>
      <c r="Z260" s="259">
        <v>0.7</v>
      </c>
      <c r="AB260" s="19">
        <f t="shared" si="408"/>
        <v>31.368749999999999</v>
      </c>
    </row>
    <row r="261" spans="1:28" ht="14.25" customHeight="1" x14ac:dyDescent="0.3">
      <c r="A261" s="6"/>
      <c r="C261" s="258"/>
      <c r="E261" s="18"/>
      <c r="G261" s="258"/>
      <c r="H261" s="23"/>
      <c r="I261" s="18"/>
      <c r="J261" s="18"/>
      <c r="L261" s="57"/>
      <c r="M261" s="18"/>
      <c r="N261" s="18"/>
      <c r="P261" s="18"/>
      <c r="S261" s="6"/>
      <c r="T261" s="6"/>
      <c r="U261" s="6"/>
      <c r="V261" s="6"/>
      <c r="W261" s="6"/>
      <c r="Y261" s="31"/>
      <c r="Z261" s="259">
        <v>0.6</v>
      </c>
      <c r="AB261" s="19">
        <f t="shared" si="408"/>
        <v>26.887499999999999</v>
      </c>
    </row>
    <row r="262" spans="1:28" ht="14.25" customHeight="1" x14ac:dyDescent="0.3">
      <c r="A262" s="6">
        <v>17</v>
      </c>
      <c r="C262" s="281"/>
      <c r="E262" s="18"/>
      <c r="G262" s="257">
        <v>1.25</v>
      </c>
      <c r="H262" s="56">
        <f t="shared" ref="H262:H263" si="409">C262*G262</f>
        <v>0</v>
      </c>
      <c r="I262" s="18"/>
      <c r="J262" s="18"/>
      <c r="L262" s="56">
        <f t="shared" ref="L262:L263" si="410">C262*0.23</f>
        <v>0</v>
      </c>
      <c r="M262" s="18"/>
      <c r="N262" s="18"/>
      <c r="P262" s="18"/>
      <c r="S262" s="6"/>
      <c r="T262" s="6"/>
      <c r="U262" s="6"/>
      <c r="V262" s="6"/>
      <c r="W262" s="6"/>
      <c r="Y262" s="31"/>
      <c r="Z262" s="259">
        <v>0.43</v>
      </c>
      <c r="AB262" s="19">
        <f t="shared" si="408"/>
        <v>19.269375</v>
      </c>
    </row>
    <row r="263" spans="1:28" ht="14.25" customHeight="1" x14ac:dyDescent="0.3">
      <c r="A263" s="6">
        <v>18</v>
      </c>
      <c r="C263" s="281"/>
      <c r="E263" s="18"/>
      <c r="G263" s="257">
        <v>1.25</v>
      </c>
      <c r="H263" s="56">
        <f t="shared" si="409"/>
        <v>0</v>
      </c>
      <c r="I263" s="18"/>
      <c r="J263" s="18"/>
      <c r="L263" s="56">
        <f t="shared" si="410"/>
        <v>0</v>
      </c>
      <c r="M263" s="18"/>
      <c r="N263" s="18"/>
      <c r="P263" s="18"/>
      <c r="R263" s="30" t="s">
        <v>20</v>
      </c>
      <c r="S263" s="15"/>
      <c r="T263" s="15"/>
      <c r="U263" s="16"/>
      <c r="V263" s="6"/>
      <c r="W263" s="6"/>
      <c r="Y263" s="31"/>
      <c r="Z263" s="259">
        <v>0.2</v>
      </c>
      <c r="AB263" s="19">
        <f t="shared" si="408"/>
        <v>8.9625000000000004</v>
      </c>
    </row>
    <row r="264" spans="1:28" ht="14.25" customHeight="1" x14ac:dyDescent="0.3">
      <c r="A264" s="6"/>
      <c r="C264" s="258"/>
      <c r="E264" s="18"/>
      <c r="G264" s="258"/>
      <c r="H264" s="23"/>
      <c r="I264" s="18"/>
      <c r="J264" s="18"/>
      <c r="L264" s="57"/>
      <c r="M264" s="18"/>
      <c r="N264" s="18"/>
      <c r="P264" s="18"/>
      <c r="R264" s="31"/>
      <c r="S264" s="6" t="s">
        <v>21</v>
      </c>
      <c r="T264" s="6" t="s">
        <v>22</v>
      </c>
      <c r="U264" s="13" t="s">
        <v>23</v>
      </c>
      <c r="V264" s="6"/>
      <c r="W264" s="6"/>
      <c r="Y264" s="31"/>
      <c r="Z264" s="259">
        <v>0.25</v>
      </c>
      <c r="AB264" s="19">
        <f t="shared" si="408"/>
        <v>11.203125</v>
      </c>
    </row>
    <row r="265" spans="1:28" ht="14.25" customHeight="1" x14ac:dyDescent="0.3">
      <c r="A265" s="6">
        <v>19</v>
      </c>
      <c r="C265" s="281"/>
      <c r="E265" s="18"/>
      <c r="G265" s="257">
        <v>1.25</v>
      </c>
      <c r="H265" s="56">
        <f t="shared" ref="H265:H266" si="411">C265*G265</f>
        <v>0</v>
      </c>
      <c r="I265" s="18"/>
      <c r="J265" s="18"/>
      <c r="L265" s="56">
        <f t="shared" ref="L265:L266" si="412">C265*0.23</f>
        <v>0</v>
      </c>
      <c r="M265" s="18"/>
      <c r="N265" s="18"/>
      <c r="P265" s="18"/>
      <c r="R265" s="31"/>
      <c r="S265" s="6"/>
      <c r="T265" s="6"/>
      <c r="U265" s="13"/>
      <c r="V265" s="6"/>
      <c r="W265" s="6"/>
      <c r="Y265" s="31" t="s">
        <v>24</v>
      </c>
      <c r="Z265" s="259">
        <v>0.23</v>
      </c>
      <c r="AB265" s="19">
        <f t="shared" si="408"/>
        <v>10.306875</v>
      </c>
    </row>
    <row r="266" spans="1:28" ht="14.25" customHeight="1" x14ac:dyDescent="0.3">
      <c r="A266" s="6">
        <v>20</v>
      </c>
      <c r="C266" s="281"/>
      <c r="E266" s="18"/>
      <c r="G266" s="257">
        <v>1.25</v>
      </c>
      <c r="H266" s="56">
        <f t="shared" si="411"/>
        <v>0</v>
      </c>
      <c r="I266" s="18"/>
      <c r="J266" s="18"/>
      <c r="L266" s="56">
        <f t="shared" si="412"/>
        <v>0</v>
      </c>
      <c r="M266" s="18"/>
      <c r="N266" s="18"/>
      <c r="P266" s="18"/>
      <c r="R266" s="31" t="s">
        <v>25</v>
      </c>
      <c r="S266" s="259">
        <v>1.25</v>
      </c>
      <c r="T266" s="259"/>
      <c r="U266" s="13">
        <f t="shared" ref="U266:U270" si="413">T266*S266</f>
        <v>0</v>
      </c>
      <c r="V266" s="6"/>
      <c r="W266" s="6"/>
      <c r="Y266" s="31"/>
      <c r="Z266" s="6"/>
      <c r="AA266" s="6"/>
      <c r="AB266" s="13"/>
    </row>
    <row r="267" spans="1:28" ht="14.25" customHeight="1" x14ac:dyDescent="0.3">
      <c r="A267" s="6"/>
      <c r="C267" s="258"/>
      <c r="E267" s="18"/>
      <c r="G267" s="258"/>
      <c r="H267" s="23"/>
      <c r="I267" s="18"/>
      <c r="J267" s="18"/>
      <c r="L267" s="57"/>
      <c r="M267" s="18"/>
      <c r="N267" s="18"/>
      <c r="P267" s="18"/>
      <c r="R267" s="31" t="s">
        <v>26</v>
      </c>
      <c r="S267" s="259">
        <v>2.25</v>
      </c>
      <c r="T267" s="259"/>
      <c r="U267" s="13">
        <f t="shared" si="413"/>
        <v>0</v>
      </c>
      <c r="V267" s="6"/>
      <c r="W267" s="6"/>
      <c r="Y267" s="38" t="s">
        <v>15</v>
      </c>
      <c r="Z267" s="259">
        <v>0.8</v>
      </c>
      <c r="AA267" s="259"/>
      <c r="AB267" s="13">
        <f t="shared" ref="AB267:AB272" si="414">AA267*Z267*1.25</f>
        <v>0</v>
      </c>
    </row>
    <row r="268" spans="1:28" ht="14.25" customHeight="1" x14ac:dyDescent="0.3">
      <c r="A268" s="6">
        <v>21</v>
      </c>
      <c r="C268" s="281"/>
      <c r="E268" s="18"/>
      <c r="G268" s="257">
        <v>1.25</v>
      </c>
      <c r="H268" s="56">
        <f t="shared" ref="H268:H269" si="415">C268*G268</f>
        <v>0</v>
      </c>
      <c r="I268" s="18"/>
      <c r="J268" s="18"/>
      <c r="L268" s="56">
        <f t="shared" ref="L268:L269" si="416">C268*0.23</f>
        <v>0</v>
      </c>
      <c r="M268" s="18"/>
      <c r="N268" s="18"/>
      <c r="P268" s="18"/>
      <c r="R268" s="31" t="s">
        <v>27</v>
      </c>
      <c r="S268" s="259">
        <v>1.5</v>
      </c>
      <c r="T268" s="259"/>
      <c r="U268" s="13">
        <f t="shared" si="413"/>
        <v>0</v>
      </c>
      <c r="V268" s="6"/>
      <c r="W268" s="6"/>
      <c r="Y268" s="31"/>
      <c r="Z268" s="259">
        <v>0.7</v>
      </c>
      <c r="AA268" s="259"/>
      <c r="AB268" s="13">
        <f t="shared" si="414"/>
        <v>0</v>
      </c>
    </row>
    <row r="269" spans="1:28" ht="14.25" customHeight="1" x14ac:dyDescent="0.3">
      <c r="A269" s="6">
        <v>22</v>
      </c>
      <c r="C269" s="281"/>
      <c r="E269" s="18"/>
      <c r="G269" s="257">
        <v>1.25</v>
      </c>
      <c r="H269" s="56">
        <f t="shared" si="415"/>
        <v>0</v>
      </c>
      <c r="I269" s="18"/>
      <c r="J269" s="18"/>
      <c r="L269" s="56">
        <f t="shared" si="416"/>
        <v>0</v>
      </c>
      <c r="M269" s="18"/>
      <c r="N269" s="18"/>
      <c r="P269" s="18"/>
      <c r="R269" s="31" t="s">
        <v>28</v>
      </c>
      <c r="S269" s="259">
        <v>1.4</v>
      </c>
      <c r="T269" s="259"/>
      <c r="U269" s="13">
        <f t="shared" si="413"/>
        <v>0</v>
      </c>
      <c r="V269" s="6"/>
      <c r="W269" s="6"/>
      <c r="Y269" s="31"/>
      <c r="Z269" s="259">
        <v>0.6</v>
      </c>
      <c r="AA269" s="259"/>
      <c r="AB269" s="13">
        <f t="shared" si="414"/>
        <v>0</v>
      </c>
    </row>
    <row r="270" spans="1:28" ht="14.25" customHeight="1" x14ac:dyDescent="0.3">
      <c r="A270" s="6"/>
      <c r="C270" s="258"/>
      <c r="E270" s="18"/>
      <c r="G270" s="258"/>
      <c r="H270" s="23"/>
      <c r="I270" s="18"/>
      <c r="J270" s="18"/>
      <c r="L270" s="57"/>
      <c r="M270" s="18"/>
      <c r="N270" s="18"/>
      <c r="P270" s="18"/>
      <c r="R270" s="39" t="s">
        <v>29</v>
      </c>
      <c r="S270" s="260">
        <v>2.5</v>
      </c>
      <c r="T270" s="260"/>
      <c r="U270" s="41">
        <f t="shared" si="413"/>
        <v>0</v>
      </c>
      <c r="V270" s="6"/>
      <c r="W270" s="6"/>
      <c r="Y270" s="31"/>
      <c r="Z270" s="259">
        <v>0.5</v>
      </c>
      <c r="AA270" s="259"/>
      <c r="AB270" s="13">
        <f t="shared" si="414"/>
        <v>0</v>
      </c>
    </row>
    <row r="271" spans="1:28" ht="14.25" customHeight="1" x14ac:dyDescent="0.3">
      <c r="A271" s="6">
        <v>23</v>
      </c>
      <c r="C271" s="281"/>
      <c r="E271" s="18"/>
      <c r="G271" s="257">
        <v>1.25</v>
      </c>
      <c r="H271" s="56">
        <f t="shared" ref="H271:H272" si="417">C271*G271</f>
        <v>0</v>
      </c>
      <c r="I271" s="18"/>
      <c r="J271" s="18"/>
      <c r="L271" s="56">
        <f t="shared" ref="L271:L272" si="418">C271*0.23</f>
        <v>0</v>
      </c>
      <c r="M271" s="18"/>
      <c r="N271" s="18"/>
      <c r="P271" s="18"/>
      <c r="S271" s="6"/>
      <c r="T271" s="6"/>
      <c r="U271" s="6"/>
      <c r="V271" s="6"/>
      <c r="W271" s="6"/>
      <c r="Y271" s="31"/>
      <c r="Z271" s="259">
        <v>0.4</v>
      </c>
      <c r="AA271" s="259"/>
      <c r="AB271" s="13">
        <f t="shared" si="414"/>
        <v>0</v>
      </c>
    </row>
    <row r="272" spans="1:28" ht="14.25" customHeight="1" x14ac:dyDescent="0.3">
      <c r="A272" s="6">
        <v>24</v>
      </c>
      <c r="C272" s="281"/>
      <c r="E272" s="18"/>
      <c r="G272" s="257">
        <v>1.25</v>
      </c>
      <c r="H272" s="56">
        <f t="shared" si="417"/>
        <v>0</v>
      </c>
      <c r="I272" s="18"/>
      <c r="J272" s="18"/>
      <c r="L272" s="56">
        <f t="shared" si="418"/>
        <v>0</v>
      </c>
      <c r="M272" s="18"/>
      <c r="N272" s="18"/>
      <c r="P272" s="18"/>
      <c r="S272" s="6"/>
      <c r="T272" s="6"/>
      <c r="U272" s="6"/>
      <c r="V272" s="6"/>
      <c r="W272" s="6"/>
      <c r="Y272" s="39"/>
      <c r="Z272" s="260">
        <v>0.3</v>
      </c>
      <c r="AA272" s="260"/>
      <c r="AB272" s="41">
        <f t="shared" si="414"/>
        <v>0</v>
      </c>
    </row>
    <row r="273" spans="1:16" ht="14.25" customHeight="1" x14ac:dyDescent="0.3">
      <c r="A273" s="6"/>
      <c r="C273" s="258"/>
      <c r="E273" s="18"/>
      <c r="G273" s="258"/>
      <c r="H273" s="23"/>
      <c r="I273" s="18"/>
      <c r="J273" s="18"/>
      <c r="L273" s="57"/>
      <c r="M273" s="18"/>
      <c r="N273" s="18"/>
      <c r="P273" s="18"/>
    </row>
    <row r="274" spans="1:16" ht="14.25" customHeight="1" x14ac:dyDescent="0.3">
      <c r="A274" s="6">
        <v>25</v>
      </c>
      <c r="C274" s="281"/>
      <c r="E274" s="18"/>
      <c r="G274" s="257">
        <v>1.25</v>
      </c>
      <c r="H274" s="56">
        <f t="shared" ref="H274:H275" si="419">C274*G274</f>
        <v>0</v>
      </c>
      <c r="I274" s="18"/>
      <c r="J274" s="18"/>
      <c r="L274" s="56">
        <f t="shared" ref="L274:L275" si="420">C274*0.23</f>
        <v>0</v>
      </c>
      <c r="M274" s="18"/>
      <c r="N274" s="18"/>
      <c r="P274" s="18"/>
    </row>
    <row r="275" spans="1:16" ht="14.25" customHeight="1" x14ac:dyDescent="0.3">
      <c r="A275" s="6">
        <v>26</v>
      </c>
      <c r="C275" s="281"/>
      <c r="E275" s="18"/>
      <c r="G275" s="257">
        <v>1.25</v>
      </c>
      <c r="H275" s="56">
        <f t="shared" si="419"/>
        <v>0</v>
      </c>
      <c r="I275" s="18"/>
      <c r="J275" s="18"/>
      <c r="L275" s="56">
        <f t="shared" si="420"/>
        <v>0</v>
      </c>
      <c r="M275" s="18"/>
      <c r="N275" s="18"/>
      <c r="P275" s="18"/>
    </row>
    <row r="276" spans="1:16" ht="14.25" customHeight="1" x14ac:dyDescent="0.3">
      <c r="A276" s="6"/>
      <c r="C276" s="258"/>
      <c r="E276" s="18"/>
      <c r="G276" s="258"/>
      <c r="H276" s="23"/>
      <c r="I276" s="18"/>
      <c r="J276" s="18"/>
      <c r="L276" s="57"/>
      <c r="M276" s="18"/>
      <c r="N276" s="18"/>
      <c r="P276" s="18"/>
    </row>
    <row r="277" spans="1:16" ht="14.25" customHeight="1" x14ac:dyDescent="0.3">
      <c r="A277" s="6">
        <v>27</v>
      </c>
      <c r="C277" s="281"/>
      <c r="E277" s="18"/>
      <c r="G277" s="257">
        <v>1.25</v>
      </c>
      <c r="H277" s="56">
        <f t="shared" ref="H277:H278" si="421">C277*G277</f>
        <v>0</v>
      </c>
      <c r="I277" s="18"/>
      <c r="J277" s="18"/>
      <c r="L277" s="56">
        <f t="shared" ref="L277:L278" si="422">C277*0.23</f>
        <v>0</v>
      </c>
      <c r="M277" s="18"/>
      <c r="N277" s="18"/>
      <c r="P277" s="18"/>
    </row>
    <row r="278" spans="1:16" ht="14.25" customHeight="1" x14ac:dyDescent="0.3">
      <c r="A278" s="6">
        <v>28</v>
      </c>
      <c r="C278" s="281"/>
      <c r="E278" s="18"/>
      <c r="G278" s="257">
        <v>1.25</v>
      </c>
      <c r="H278" s="56">
        <f t="shared" si="421"/>
        <v>0</v>
      </c>
      <c r="I278" s="18"/>
      <c r="J278" s="18"/>
      <c r="L278" s="56">
        <f t="shared" si="422"/>
        <v>0</v>
      </c>
      <c r="M278" s="18"/>
      <c r="N278" s="18"/>
      <c r="P278" s="18"/>
    </row>
    <row r="279" spans="1:16" ht="14.25" customHeight="1" x14ac:dyDescent="0.3">
      <c r="A279" s="6"/>
      <c r="C279" s="258"/>
      <c r="E279" s="18"/>
      <c r="G279" s="258"/>
      <c r="H279" s="23"/>
      <c r="I279" s="18"/>
      <c r="J279" s="18"/>
      <c r="L279" s="57"/>
      <c r="M279" s="18"/>
      <c r="N279" s="18"/>
      <c r="P279" s="18"/>
    </row>
    <row r="280" spans="1:16" ht="14.25" customHeight="1" x14ac:dyDescent="0.3">
      <c r="A280" s="6">
        <v>29</v>
      </c>
      <c r="C280" s="281"/>
      <c r="E280" s="18"/>
      <c r="G280" s="257">
        <v>1.25</v>
      </c>
      <c r="H280" s="56">
        <f t="shared" ref="H280:H281" si="423">C280*G280</f>
        <v>0</v>
      </c>
      <c r="I280" s="18"/>
      <c r="J280" s="18"/>
      <c r="L280" s="56">
        <f t="shared" ref="L280:L281" si="424">C280*0.23</f>
        <v>0</v>
      </c>
      <c r="M280" s="18"/>
      <c r="N280" s="18"/>
      <c r="P280" s="18"/>
    </row>
    <row r="281" spans="1:16" ht="14.25" customHeight="1" x14ac:dyDescent="0.3">
      <c r="A281" s="6">
        <v>30</v>
      </c>
      <c r="C281" s="281"/>
      <c r="E281" s="18"/>
      <c r="G281" s="257">
        <v>1.25</v>
      </c>
      <c r="H281" s="56">
        <f t="shared" si="423"/>
        <v>0</v>
      </c>
      <c r="I281" s="18"/>
      <c r="J281" s="18"/>
      <c r="L281" s="56">
        <f t="shared" si="424"/>
        <v>0</v>
      </c>
      <c r="M281" s="18"/>
      <c r="N281" s="18"/>
      <c r="P281" s="18"/>
    </row>
    <row r="282" spans="1:16" ht="14.25" customHeight="1" x14ac:dyDescent="0.3">
      <c r="A282" s="6"/>
      <c r="C282" s="258"/>
      <c r="E282" s="18"/>
      <c r="G282" s="258"/>
      <c r="H282" s="23"/>
      <c r="I282" s="18"/>
      <c r="J282" s="18"/>
      <c r="L282" s="57"/>
      <c r="M282" s="18"/>
      <c r="N282" s="18"/>
      <c r="P282" s="18"/>
    </row>
    <row r="283" spans="1:16" ht="14.25" customHeight="1" x14ac:dyDescent="0.3">
      <c r="A283" s="6"/>
      <c r="C283" s="281"/>
      <c r="E283" s="18"/>
      <c r="G283" s="257"/>
      <c r="H283" s="56"/>
      <c r="I283" s="18"/>
      <c r="J283" s="18"/>
      <c r="L283" s="20"/>
      <c r="M283" s="6"/>
      <c r="N283" s="6"/>
      <c r="P283" s="6"/>
    </row>
    <row r="284" spans="1:16" ht="14.25" customHeight="1" x14ac:dyDescent="0.3">
      <c r="A284" s="6"/>
      <c r="C284" s="281"/>
      <c r="E284" s="18"/>
      <c r="G284" s="257"/>
      <c r="H284" s="56"/>
      <c r="I284" s="18"/>
      <c r="J284" s="18"/>
      <c r="L284" s="20"/>
      <c r="N284" s="6"/>
      <c r="P284" s="6"/>
    </row>
    <row r="285" spans="1:16" ht="14.25" customHeight="1" x14ac:dyDescent="0.3">
      <c r="A285" s="6"/>
      <c r="C285" s="20"/>
      <c r="E285" s="6"/>
      <c r="G285" s="20"/>
      <c r="H285" s="56"/>
      <c r="I285" s="18"/>
      <c r="J285" s="18"/>
      <c r="L285" s="20"/>
      <c r="N285" s="6"/>
      <c r="P285" s="6"/>
    </row>
    <row r="286" spans="1:16" ht="14.25" customHeight="1" x14ac:dyDescent="0.3">
      <c r="A286" s="6"/>
      <c r="C286" s="63">
        <f>SUM(C238:C284)</f>
        <v>35.85</v>
      </c>
      <c r="E286" s="18"/>
      <c r="G286" s="45">
        <v>1.25</v>
      </c>
      <c r="H286" s="63">
        <f>MAX(C286)*G286</f>
        <v>44.8125</v>
      </c>
      <c r="I286" s="18"/>
      <c r="J286" s="18"/>
      <c r="L286" s="63">
        <f>SUM(L237:L282)</f>
        <v>8.2454999999999998</v>
      </c>
      <c r="M286" s="18"/>
      <c r="N286" s="18"/>
      <c r="O286" s="18"/>
      <c r="P286" s="18"/>
    </row>
    <row r="287" spans="1:16" ht="14.25" customHeight="1" x14ac:dyDescent="0.3"/>
    <row r="288" spans="1:16" ht="14.25" customHeight="1" x14ac:dyDescent="0.3"/>
    <row r="289" spans="1:28" ht="14.25" customHeight="1" x14ac:dyDescent="0.3"/>
    <row r="290" spans="1:28" ht="14.25" customHeight="1" x14ac:dyDescent="0.3">
      <c r="B290" s="344" t="s">
        <v>34</v>
      </c>
      <c r="C290" s="345"/>
      <c r="D290" s="345"/>
      <c r="E290" s="346"/>
      <c r="F290" s="46"/>
      <c r="G290" s="46"/>
      <c r="H290" s="46"/>
      <c r="I290" s="46"/>
      <c r="J290" s="46"/>
      <c r="K290" s="46"/>
      <c r="L290" s="46"/>
    </row>
    <row r="291" spans="1:28" ht="14.25" customHeight="1" x14ac:dyDescent="0.3">
      <c r="P291" s="6"/>
      <c r="Q291" s="6"/>
      <c r="R291" s="6"/>
      <c r="S291" s="6"/>
      <c r="T291" s="6"/>
      <c r="X291" s="6"/>
      <c r="Y291" s="6"/>
      <c r="Z291" s="6"/>
    </row>
    <row r="292" spans="1:28" ht="14.25" customHeight="1" x14ac:dyDescent="0.3">
      <c r="C292" s="53" t="s">
        <v>4</v>
      </c>
      <c r="D292" s="55"/>
      <c r="E292" s="55"/>
      <c r="G292" s="53" t="s">
        <v>1</v>
      </c>
      <c r="H292" s="55"/>
      <c r="I292" s="55"/>
      <c r="J292" s="55"/>
      <c r="L292" s="354" t="s">
        <v>2</v>
      </c>
      <c r="M292" s="53" t="s">
        <v>23</v>
      </c>
      <c r="N292" s="55"/>
      <c r="O292" s="55"/>
      <c r="P292" s="6"/>
      <c r="Q292" s="6"/>
      <c r="S292" s="6"/>
      <c r="T292" s="6"/>
      <c r="U292" s="6"/>
      <c r="V292" s="6"/>
      <c r="W292" s="6"/>
      <c r="AA292" s="6"/>
      <c r="AB292" s="6"/>
    </row>
    <row r="293" spans="1:28" ht="14.25" customHeight="1" x14ac:dyDescent="0.3">
      <c r="C293" s="59" t="s">
        <v>9</v>
      </c>
      <c r="D293" s="47"/>
      <c r="E293" s="55"/>
      <c r="G293" s="1" t="s">
        <v>5</v>
      </c>
      <c r="H293" s="47"/>
      <c r="I293" s="47"/>
      <c r="J293" s="47"/>
      <c r="L293" s="355"/>
      <c r="M293" s="11" t="s">
        <v>9</v>
      </c>
      <c r="N293" s="47"/>
      <c r="O293" s="47"/>
      <c r="P293" s="6"/>
      <c r="Q293" s="6"/>
      <c r="S293" s="6"/>
      <c r="T293" s="6"/>
      <c r="U293" s="6"/>
      <c r="V293" s="6"/>
      <c r="W293" s="6"/>
      <c r="AA293" s="6"/>
      <c r="AB293" s="6"/>
    </row>
    <row r="294" spans="1:28" ht="14.25" customHeight="1" x14ac:dyDescent="0.3">
      <c r="C294" s="20"/>
      <c r="D294" s="6"/>
      <c r="E294" s="46"/>
      <c r="G294" s="20"/>
      <c r="H294" s="6"/>
      <c r="I294" s="6"/>
      <c r="J294" s="6"/>
      <c r="L294" s="14"/>
      <c r="M294" s="16"/>
      <c r="N294" s="6"/>
      <c r="O294" s="6"/>
      <c r="P294" s="6"/>
      <c r="Q294" s="6"/>
      <c r="S294" s="6"/>
      <c r="T294" s="6"/>
      <c r="U294" s="6"/>
      <c r="V294" s="6"/>
      <c r="W294" s="6"/>
      <c r="AA294" s="6"/>
      <c r="AB294" s="6"/>
    </row>
    <row r="295" spans="1:28" ht="14.25" customHeight="1" x14ac:dyDescent="0.3">
      <c r="A295" s="6">
        <v>1</v>
      </c>
      <c r="C295" s="257">
        <v>1</v>
      </c>
      <c r="D295" s="6"/>
      <c r="E295" s="46"/>
      <c r="G295" s="56">
        <f t="shared" ref="G295:G296" si="425">C295/0.23</f>
        <v>4.3478260869565215</v>
      </c>
      <c r="H295" s="18"/>
      <c r="I295" s="18"/>
      <c r="J295" s="18"/>
      <c r="L295" s="257">
        <v>1.25</v>
      </c>
      <c r="M295" s="19">
        <f t="shared" ref="M295:M296" si="426">G295*L295</f>
        <v>5.4347826086956523</v>
      </c>
      <c r="N295" s="18"/>
      <c r="O295" s="18"/>
      <c r="P295" s="6"/>
      <c r="Q295" s="6"/>
      <c r="S295" s="6"/>
      <c r="T295" s="6"/>
      <c r="U295" s="6"/>
      <c r="V295" s="6"/>
      <c r="W295" s="6"/>
      <c r="AA295" s="6"/>
      <c r="AB295" s="6"/>
    </row>
    <row r="296" spans="1:28" ht="14.25" customHeight="1" x14ac:dyDescent="0.3">
      <c r="A296" s="6">
        <v>2</v>
      </c>
      <c r="C296" s="257">
        <v>1</v>
      </c>
      <c r="D296" s="6"/>
      <c r="E296" s="46"/>
      <c r="G296" s="56">
        <f t="shared" si="425"/>
        <v>4.3478260869565215</v>
      </c>
      <c r="H296" s="18"/>
      <c r="I296" s="18"/>
      <c r="J296" s="18"/>
      <c r="L296" s="257">
        <v>1.25</v>
      </c>
      <c r="M296" s="19">
        <f t="shared" si="426"/>
        <v>5.4347826086956523</v>
      </c>
      <c r="N296" s="18"/>
      <c r="O296" s="18"/>
      <c r="S296" s="6"/>
      <c r="T296" s="6"/>
      <c r="U296" s="6"/>
      <c r="V296" s="6"/>
      <c r="W296" s="6"/>
      <c r="AA296" s="6"/>
      <c r="AB296" s="6"/>
    </row>
    <row r="297" spans="1:28" ht="14.25" customHeight="1" x14ac:dyDescent="0.3">
      <c r="A297" s="6"/>
      <c r="C297" s="282"/>
      <c r="D297" s="6"/>
      <c r="E297" s="46"/>
      <c r="G297" s="23"/>
      <c r="H297" s="18"/>
      <c r="I297" s="18"/>
      <c r="J297" s="18"/>
      <c r="L297" s="258"/>
      <c r="M297" s="24"/>
      <c r="N297" s="18"/>
      <c r="O297" s="18"/>
      <c r="R297" s="29"/>
      <c r="S297" s="349" t="s">
        <v>9</v>
      </c>
      <c r="T297" s="345"/>
      <c r="U297" s="346"/>
      <c r="V297" s="47"/>
      <c r="W297" s="47"/>
      <c r="Y297" s="30" t="s">
        <v>11</v>
      </c>
      <c r="Z297" s="15"/>
      <c r="AA297" s="15"/>
      <c r="AB297" s="16"/>
    </row>
    <row r="298" spans="1:28" ht="14.25" customHeight="1" x14ac:dyDescent="0.3">
      <c r="A298" s="6">
        <v>3</v>
      </c>
      <c r="C298" s="257">
        <v>0.23</v>
      </c>
      <c r="D298" s="6"/>
      <c r="E298" s="46"/>
      <c r="G298" s="56">
        <f t="shared" ref="G298:G299" si="427">C298/0.23</f>
        <v>1</v>
      </c>
      <c r="H298" s="18"/>
      <c r="I298" s="18"/>
      <c r="J298" s="18"/>
      <c r="L298" s="257">
        <v>1.25</v>
      </c>
      <c r="M298" s="19">
        <f t="shared" ref="M298:M299" si="428">G298*L298</f>
        <v>1.25</v>
      </c>
      <c r="N298" s="18"/>
      <c r="O298" s="18"/>
      <c r="R298" s="58"/>
      <c r="T298" s="6"/>
      <c r="U298" s="13"/>
      <c r="V298" s="6"/>
      <c r="W298" s="6"/>
      <c r="Y298" s="31"/>
      <c r="Z298" s="259">
        <v>0.8</v>
      </c>
      <c r="AB298" s="19">
        <f t="shared" ref="AB298:AB304" si="429">$T$299*Z298</f>
        <v>1.968</v>
      </c>
    </row>
    <row r="299" spans="1:28" ht="14.25" customHeight="1" x14ac:dyDescent="0.3">
      <c r="A299" s="6">
        <v>4</v>
      </c>
      <c r="C299" s="257"/>
      <c r="D299" s="6"/>
      <c r="E299" s="46"/>
      <c r="G299" s="56">
        <f t="shared" si="427"/>
        <v>0</v>
      </c>
      <c r="H299" s="18"/>
      <c r="I299" s="18"/>
      <c r="J299" s="18"/>
      <c r="L299" s="257">
        <v>1.25</v>
      </c>
      <c r="M299" s="19">
        <f t="shared" si="428"/>
        <v>0</v>
      </c>
      <c r="N299" s="18"/>
      <c r="O299" s="18"/>
      <c r="R299" s="59" t="s">
        <v>12</v>
      </c>
      <c r="T299" s="60">
        <f>G343*0.23</f>
        <v>2.46</v>
      </c>
      <c r="U299" s="19"/>
      <c r="V299" s="18"/>
      <c r="W299" s="18"/>
      <c r="Y299" s="31"/>
      <c r="Z299" s="259">
        <v>0.7</v>
      </c>
      <c r="AB299" s="19">
        <f t="shared" si="429"/>
        <v>1.722</v>
      </c>
    </row>
    <row r="300" spans="1:28" ht="14.25" customHeight="1" x14ac:dyDescent="0.3">
      <c r="A300" s="6"/>
      <c r="C300" s="282"/>
      <c r="D300" s="6"/>
      <c r="E300" s="46"/>
      <c r="G300" s="23"/>
      <c r="H300" s="18"/>
      <c r="I300" s="18"/>
      <c r="J300" s="18"/>
      <c r="L300" s="258"/>
      <c r="M300" s="24"/>
      <c r="N300" s="18"/>
      <c r="O300" s="18"/>
      <c r="R300" s="61"/>
      <c r="S300" s="62"/>
      <c r="T300" s="40"/>
      <c r="U300" s="41"/>
      <c r="V300" s="6"/>
      <c r="W300" s="6"/>
      <c r="Y300" s="31"/>
      <c r="Z300" s="259">
        <v>0.6</v>
      </c>
      <c r="AB300" s="19">
        <f t="shared" si="429"/>
        <v>1.476</v>
      </c>
    </row>
    <row r="301" spans="1:28" ht="14.25" customHeight="1" x14ac:dyDescent="0.3">
      <c r="A301" s="6">
        <v>5</v>
      </c>
      <c r="C301" s="257">
        <v>0.23</v>
      </c>
      <c r="D301" s="6"/>
      <c r="E301" s="46"/>
      <c r="G301" s="56">
        <f t="shared" ref="G301:G302" si="430">C301/0.23</f>
        <v>1</v>
      </c>
      <c r="H301" s="18"/>
      <c r="I301" s="18"/>
      <c r="J301" s="18"/>
      <c r="L301" s="257">
        <v>1.25</v>
      </c>
      <c r="M301" s="19">
        <f t="shared" ref="M301:M302" si="431">G301*L301</f>
        <v>1.25</v>
      </c>
      <c r="N301" s="18"/>
      <c r="O301" s="18"/>
      <c r="R301" s="47"/>
      <c r="T301" s="18"/>
      <c r="U301" s="18"/>
      <c r="V301" s="6"/>
      <c r="W301" s="18"/>
      <c r="Y301" s="31"/>
      <c r="Z301" s="259">
        <v>0.5</v>
      </c>
      <c r="AB301" s="19">
        <f t="shared" si="429"/>
        <v>1.23</v>
      </c>
    </row>
    <row r="302" spans="1:28" ht="14.25" customHeight="1" x14ac:dyDescent="0.3">
      <c r="A302" s="6">
        <v>6</v>
      </c>
      <c r="C302" s="257"/>
      <c r="D302" s="6"/>
      <c r="E302" s="46"/>
      <c r="G302" s="56">
        <f t="shared" si="430"/>
        <v>0</v>
      </c>
      <c r="H302" s="18"/>
      <c r="I302" s="18"/>
      <c r="J302" s="18"/>
      <c r="L302" s="257">
        <v>1.25</v>
      </c>
      <c r="M302" s="19">
        <f t="shared" si="431"/>
        <v>0</v>
      </c>
      <c r="N302" s="18"/>
      <c r="O302" s="18"/>
      <c r="R302" s="6"/>
      <c r="T302" s="6"/>
      <c r="U302" s="6"/>
      <c r="V302" s="6"/>
      <c r="W302" s="6"/>
      <c r="Y302" s="31"/>
      <c r="Z302" s="259">
        <v>0.4</v>
      </c>
      <c r="AB302" s="19">
        <f t="shared" si="429"/>
        <v>0.98399999999999999</v>
      </c>
    </row>
    <row r="303" spans="1:28" ht="14.25" customHeight="1" x14ac:dyDescent="0.3">
      <c r="A303" s="6"/>
      <c r="C303" s="282"/>
      <c r="D303" s="6"/>
      <c r="E303" s="46"/>
      <c r="G303" s="23"/>
      <c r="H303" s="18"/>
      <c r="I303" s="18"/>
      <c r="J303" s="18"/>
      <c r="L303" s="258"/>
      <c r="M303" s="24"/>
      <c r="N303" s="18"/>
      <c r="O303" s="18"/>
      <c r="R303" s="47"/>
      <c r="T303" s="60"/>
      <c r="U303" s="18"/>
      <c r="V303" s="18"/>
      <c r="W303" s="18"/>
      <c r="Y303" s="31"/>
      <c r="Z303" s="259">
        <v>0.28999999999999998</v>
      </c>
      <c r="AB303" s="19">
        <f t="shared" si="429"/>
        <v>0.71339999999999992</v>
      </c>
    </row>
    <row r="304" spans="1:28" ht="14.25" customHeight="1" x14ac:dyDescent="0.3">
      <c r="A304" s="6">
        <v>7</v>
      </c>
      <c r="C304" s="257"/>
      <c r="D304" s="6"/>
      <c r="E304" s="46"/>
      <c r="G304" s="56">
        <f t="shared" ref="G304:G305" si="432">C304/0.23</f>
        <v>0</v>
      </c>
      <c r="H304" s="18"/>
      <c r="I304" s="18"/>
      <c r="J304" s="18"/>
      <c r="L304" s="257">
        <v>1.25</v>
      </c>
      <c r="M304" s="19">
        <f t="shared" ref="M304:M305" si="433">G304*L304</f>
        <v>0</v>
      </c>
      <c r="N304" s="18"/>
      <c r="O304" s="18"/>
      <c r="S304" s="6"/>
      <c r="T304" s="6"/>
      <c r="U304" s="6"/>
      <c r="V304" s="6"/>
      <c r="W304" s="6"/>
      <c r="Y304" s="31"/>
      <c r="Z304" s="259">
        <v>0.2</v>
      </c>
      <c r="AB304" s="19">
        <f t="shared" si="429"/>
        <v>0.49199999999999999</v>
      </c>
    </row>
    <row r="305" spans="1:28" ht="14.25" customHeight="1" x14ac:dyDescent="0.3">
      <c r="A305" s="6">
        <v>8</v>
      </c>
      <c r="C305" s="257"/>
      <c r="D305" s="6"/>
      <c r="E305" s="46"/>
      <c r="G305" s="56">
        <f t="shared" si="432"/>
        <v>0</v>
      </c>
      <c r="H305" s="18"/>
      <c r="I305" s="18"/>
      <c r="J305" s="18"/>
      <c r="L305" s="257">
        <v>1.25</v>
      </c>
      <c r="M305" s="19">
        <f t="shared" si="433"/>
        <v>0</v>
      </c>
      <c r="N305" s="18"/>
      <c r="O305" s="18"/>
      <c r="S305" s="6"/>
      <c r="T305" s="6"/>
      <c r="U305" s="6"/>
      <c r="V305" s="6"/>
      <c r="W305" s="6"/>
      <c r="Y305" s="31"/>
      <c r="Z305" s="6"/>
      <c r="AA305" s="6"/>
      <c r="AB305" s="13"/>
    </row>
    <row r="306" spans="1:28" ht="14.25" customHeight="1" x14ac:dyDescent="0.3">
      <c r="A306" s="6"/>
      <c r="C306" s="282"/>
      <c r="D306" s="6"/>
      <c r="E306" s="46"/>
      <c r="G306" s="23"/>
      <c r="H306" s="18"/>
      <c r="I306" s="18"/>
      <c r="J306" s="18"/>
      <c r="L306" s="258"/>
      <c r="M306" s="24"/>
      <c r="N306" s="18"/>
      <c r="O306" s="18"/>
      <c r="S306" s="6"/>
      <c r="T306" s="6"/>
      <c r="U306" s="6"/>
      <c r="V306" s="6"/>
      <c r="W306" s="6"/>
      <c r="Y306" s="38" t="s">
        <v>15</v>
      </c>
      <c r="Z306" s="259">
        <v>0.8</v>
      </c>
      <c r="AA306" s="259"/>
      <c r="AB306" s="13">
        <f t="shared" ref="AB306:AB311" si="434">AA306*Z306</f>
        <v>0</v>
      </c>
    </row>
    <row r="307" spans="1:28" ht="14.25" customHeight="1" x14ac:dyDescent="0.3">
      <c r="A307" s="6">
        <v>9</v>
      </c>
      <c r="C307" s="257"/>
      <c r="D307" s="6"/>
      <c r="E307" s="46"/>
      <c r="G307" s="56">
        <f t="shared" ref="G307:G308" si="435">C307/0.23</f>
        <v>0</v>
      </c>
      <c r="H307" s="18"/>
      <c r="I307" s="18"/>
      <c r="J307" s="18"/>
      <c r="L307" s="257">
        <v>1.25</v>
      </c>
      <c r="M307" s="19">
        <f t="shared" ref="M307:M308" si="436">G307*L307</f>
        <v>0</v>
      </c>
      <c r="N307" s="18"/>
      <c r="O307" s="18"/>
      <c r="S307" s="6"/>
      <c r="T307" s="6"/>
      <c r="U307" s="6"/>
      <c r="V307" s="6"/>
      <c r="W307" s="6"/>
      <c r="Y307" s="31"/>
      <c r="Z307" s="259">
        <v>0.7</v>
      </c>
      <c r="AA307" s="259"/>
      <c r="AB307" s="13">
        <f t="shared" si="434"/>
        <v>0</v>
      </c>
    </row>
    <row r="308" spans="1:28" ht="14.25" customHeight="1" x14ac:dyDescent="0.3">
      <c r="A308" s="6">
        <v>10</v>
      </c>
      <c r="C308" s="257"/>
      <c r="D308" s="6"/>
      <c r="E308" s="46"/>
      <c r="G308" s="56">
        <f t="shared" si="435"/>
        <v>0</v>
      </c>
      <c r="H308" s="18"/>
      <c r="I308" s="18"/>
      <c r="J308" s="18"/>
      <c r="L308" s="257">
        <v>1.25</v>
      </c>
      <c r="M308" s="19">
        <f t="shared" si="436"/>
        <v>0</v>
      </c>
      <c r="N308" s="18"/>
      <c r="O308" s="18"/>
      <c r="R308" s="30" t="s">
        <v>16</v>
      </c>
      <c r="S308" s="15"/>
      <c r="T308" s="15"/>
      <c r="U308" s="16"/>
      <c r="V308" s="6"/>
      <c r="W308" s="6"/>
      <c r="Y308" s="31"/>
      <c r="Z308" s="259">
        <v>0.6</v>
      </c>
      <c r="AA308" s="259"/>
      <c r="AB308" s="13">
        <f t="shared" si="434"/>
        <v>0</v>
      </c>
    </row>
    <row r="309" spans="1:28" ht="14.25" customHeight="1" x14ac:dyDescent="0.3">
      <c r="A309" s="6"/>
      <c r="C309" s="282"/>
      <c r="D309" s="6"/>
      <c r="E309" s="46"/>
      <c r="G309" s="23"/>
      <c r="H309" s="18"/>
      <c r="I309" s="18"/>
      <c r="J309" s="18"/>
      <c r="L309" s="258"/>
      <c r="M309" s="24"/>
      <c r="N309" s="18"/>
      <c r="O309" s="18"/>
      <c r="R309" s="31"/>
      <c r="S309" s="6"/>
      <c r="T309" s="6" t="s">
        <v>9</v>
      </c>
      <c r="U309" s="13"/>
      <c r="V309" s="6"/>
      <c r="W309" s="6"/>
      <c r="Y309" s="31"/>
      <c r="Z309" s="259">
        <v>0.5</v>
      </c>
      <c r="AA309" s="259"/>
      <c r="AB309" s="13">
        <f t="shared" si="434"/>
        <v>0</v>
      </c>
    </row>
    <row r="310" spans="1:28" ht="14.25" customHeight="1" x14ac:dyDescent="0.3">
      <c r="A310" s="6">
        <v>11</v>
      </c>
      <c r="C310" s="257"/>
      <c r="D310" s="6"/>
      <c r="E310" s="46"/>
      <c r="G310" s="56">
        <f t="shared" ref="G310:G311" si="437">C310/0.23</f>
        <v>0</v>
      </c>
      <c r="H310" s="18"/>
      <c r="I310" s="18"/>
      <c r="J310" s="18"/>
      <c r="L310" s="257">
        <v>1.25</v>
      </c>
      <c r="M310" s="19">
        <f t="shared" ref="M310:M311" si="438">G310*L310</f>
        <v>0</v>
      </c>
      <c r="N310" s="18"/>
      <c r="O310" s="18"/>
      <c r="R310" s="31"/>
      <c r="S310" s="6"/>
      <c r="T310" s="6"/>
      <c r="U310" s="13"/>
      <c r="V310" s="6"/>
      <c r="W310" s="6"/>
      <c r="Y310" s="31"/>
      <c r="Z310" s="259">
        <v>0.4</v>
      </c>
      <c r="AA310" s="259"/>
      <c r="AB310" s="13">
        <f t="shared" si="434"/>
        <v>0</v>
      </c>
    </row>
    <row r="311" spans="1:28" ht="14.25" customHeight="1" x14ac:dyDescent="0.3">
      <c r="A311" s="6">
        <v>12</v>
      </c>
      <c r="C311" s="257"/>
      <c r="D311" s="6"/>
      <c r="E311" s="46"/>
      <c r="G311" s="56">
        <f t="shared" si="437"/>
        <v>0</v>
      </c>
      <c r="H311" s="18"/>
      <c r="I311" s="18"/>
      <c r="J311" s="18"/>
      <c r="L311" s="257">
        <v>1.25</v>
      </c>
      <c r="M311" s="19">
        <f t="shared" si="438"/>
        <v>0</v>
      </c>
      <c r="N311" s="18"/>
      <c r="O311" s="18"/>
      <c r="R311" s="31" t="s">
        <v>1</v>
      </c>
      <c r="S311" s="6"/>
      <c r="T311" s="18">
        <f>G343</f>
        <v>10.695652173913043</v>
      </c>
      <c r="U311" s="19"/>
      <c r="V311" s="6"/>
      <c r="W311" s="6"/>
      <c r="Y311" s="39"/>
      <c r="Z311" s="260">
        <v>0.3</v>
      </c>
      <c r="AA311" s="260"/>
      <c r="AB311" s="41">
        <f t="shared" si="434"/>
        <v>0</v>
      </c>
    </row>
    <row r="312" spans="1:28" ht="14.25" customHeight="1" x14ac:dyDescent="0.3">
      <c r="A312" s="6"/>
      <c r="C312" s="282"/>
      <c r="D312" s="6"/>
      <c r="E312" s="46"/>
      <c r="G312" s="23"/>
      <c r="H312" s="18"/>
      <c r="I312" s="18"/>
      <c r="J312" s="18"/>
      <c r="L312" s="258"/>
      <c r="M312" s="24"/>
      <c r="N312" s="18"/>
      <c r="O312" s="18"/>
      <c r="R312" s="31"/>
      <c r="S312" s="6"/>
      <c r="T312" s="6"/>
      <c r="U312" s="13"/>
      <c r="V312" s="6"/>
      <c r="W312" s="6"/>
      <c r="Z312" s="6"/>
      <c r="AA312" s="6"/>
      <c r="AB312" s="6"/>
    </row>
    <row r="313" spans="1:28" ht="14.25" customHeight="1" x14ac:dyDescent="0.3">
      <c r="A313" s="6">
        <v>13</v>
      </c>
      <c r="C313" s="257"/>
      <c r="D313" s="6"/>
      <c r="E313" s="46"/>
      <c r="G313" s="56">
        <f t="shared" ref="G313:G314" si="439">C313/0.23</f>
        <v>0</v>
      </c>
      <c r="H313" s="18"/>
      <c r="I313" s="18"/>
      <c r="J313" s="18"/>
      <c r="L313" s="257">
        <v>1.25</v>
      </c>
      <c r="M313" s="19">
        <f t="shared" ref="M313:M314" si="440">G313*L313</f>
        <v>0</v>
      </c>
      <c r="N313" s="18"/>
      <c r="O313" s="18"/>
      <c r="R313" s="31"/>
      <c r="S313" s="6"/>
      <c r="T313" s="18"/>
      <c r="U313" s="13"/>
      <c r="V313" s="6"/>
      <c r="W313" s="6"/>
      <c r="Z313" s="6"/>
      <c r="AA313" s="6"/>
      <c r="AB313" s="6"/>
    </row>
    <row r="314" spans="1:28" ht="14.25" customHeight="1" x14ac:dyDescent="0.3">
      <c r="A314" s="6">
        <v>14</v>
      </c>
      <c r="C314" s="257"/>
      <c r="D314" s="6"/>
      <c r="E314" s="46"/>
      <c r="G314" s="56">
        <f t="shared" si="439"/>
        <v>0</v>
      </c>
      <c r="H314" s="18"/>
      <c r="I314" s="18"/>
      <c r="J314" s="18"/>
      <c r="L314" s="257">
        <v>1.25</v>
      </c>
      <c r="M314" s="19">
        <f t="shared" si="440"/>
        <v>0</v>
      </c>
      <c r="N314" s="18"/>
      <c r="O314" s="18"/>
      <c r="R314" s="31"/>
      <c r="S314" s="6"/>
      <c r="T314" s="6"/>
      <c r="U314" s="13"/>
      <c r="V314" s="6"/>
      <c r="W314" s="6"/>
      <c r="Z314" s="6"/>
      <c r="AA314" s="6"/>
      <c r="AB314" s="6"/>
    </row>
    <row r="315" spans="1:28" ht="14.25" customHeight="1" x14ac:dyDescent="0.3">
      <c r="A315" s="6"/>
      <c r="C315" s="282"/>
      <c r="D315" s="6"/>
      <c r="E315" s="46"/>
      <c r="G315" s="23"/>
      <c r="H315" s="18"/>
      <c r="I315" s="18"/>
      <c r="J315" s="18"/>
      <c r="L315" s="258"/>
      <c r="M315" s="24"/>
      <c r="N315" s="18"/>
      <c r="O315" s="18"/>
      <c r="R315" s="39" t="s">
        <v>18</v>
      </c>
      <c r="S315" s="40"/>
      <c r="T315" s="50">
        <f>T311*1.25</f>
        <v>13.369565217391305</v>
      </c>
      <c r="U315" s="41"/>
      <c r="V315" s="6"/>
      <c r="W315" s="6"/>
      <c r="Y315" s="30" t="s">
        <v>19</v>
      </c>
      <c r="Z315" s="15"/>
      <c r="AA315" s="15"/>
      <c r="AB315" s="16"/>
    </row>
    <row r="316" spans="1:28" ht="14.25" customHeight="1" x14ac:dyDescent="0.3">
      <c r="A316" s="6">
        <v>15</v>
      </c>
      <c r="C316" s="257"/>
      <c r="D316" s="6"/>
      <c r="E316" s="46"/>
      <c r="G316" s="56">
        <f t="shared" ref="G316:G317" si="441">C316/0.23</f>
        <v>0</v>
      </c>
      <c r="H316" s="18"/>
      <c r="I316" s="18"/>
      <c r="J316" s="18"/>
      <c r="L316" s="257">
        <v>1.25</v>
      </c>
      <c r="M316" s="19">
        <f t="shared" ref="M316:M317" si="442">G316*L316</f>
        <v>0</v>
      </c>
      <c r="N316" s="18"/>
      <c r="O316" s="18"/>
      <c r="S316" s="6"/>
      <c r="T316" s="6"/>
      <c r="U316" s="6"/>
      <c r="V316" s="6"/>
      <c r="W316" s="6"/>
      <c r="Y316" s="31"/>
      <c r="Z316" s="259">
        <v>0.8</v>
      </c>
      <c r="AB316" s="19">
        <f t="shared" ref="AB316:AB322" si="443">$T$315*Z316</f>
        <v>10.695652173913045</v>
      </c>
    </row>
    <row r="317" spans="1:28" ht="14.25" customHeight="1" x14ac:dyDescent="0.3">
      <c r="A317" s="6">
        <v>16</v>
      </c>
      <c r="C317" s="257"/>
      <c r="D317" s="6"/>
      <c r="E317" s="46"/>
      <c r="G317" s="56">
        <f t="shared" si="441"/>
        <v>0</v>
      </c>
      <c r="H317" s="18"/>
      <c r="I317" s="18"/>
      <c r="J317" s="18"/>
      <c r="L317" s="257">
        <v>1.25</v>
      </c>
      <c r="M317" s="19">
        <f t="shared" si="442"/>
        <v>0</v>
      </c>
      <c r="N317" s="18"/>
      <c r="O317" s="18"/>
      <c r="S317" s="6"/>
      <c r="T317" s="6"/>
      <c r="U317" s="6"/>
      <c r="V317" s="6"/>
      <c r="W317" s="6"/>
      <c r="Y317" s="31"/>
      <c r="Z317" s="259">
        <v>0.7</v>
      </c>
      <c r="AB317" s="19">
        <f t="shared" si="443"/>
        <v>9.3586956521739122</v>
      </c>
    </row>
    <row r="318" spans="1:28" ht="14.25" customHeight="1" x14ac:dyDescent="0.3">
      <c r="A318" s="6"/>
      <c r="C318" s="282"/>
      <c r="D318" s="6"/>
      <c r="E318" s="46"/>
      <c r="G318" s="23"/>
      <c r="H318" s="18"/>
      <c r="I318" s="18"/>
      <c r="J318" s="18"/>
      <c r="L318" s="258"/>
      <c r="M318" s="24"/>
      <c r="N318" s="18"/>
      <c r="O318" s="18"/>
      <c r="S318" s="6"/>
      <c r="T318" s="6"/>
      <c r="U318" s="6"/>
      <c r="V318" s="6"/>
      <c r="W318" s="6"/>
      <c r="Y318" s="31"/>
      <c r="Z318" s="259">
        <v>0.6</v>
      </c>
      <c r="AB318" s="19">
        <f t="shared" si="443"/>
        <v>8.0217391304347831</v>
      </c>
    </row>
    <row r="319" spans="1:28" ht="14.25" customHeight="1" x14ac:dyDescent="0.3">
      <c r="A319" s="6">
        <v>17</v>
      </c>
      <c r="C319" s="257"/>
      <c r="D319" s="6"/>
      <c r="E319" s="46"/>
      <c r="G319" s="56">
        <f t="shared" ref="G319:G320" si="444">C319/0.23</f>
        <v>0</v>
      </c>
      <c r="H319" s="18"/>
      <c r="I319" s="18"/>
      <c r="J319" s="18"/>
      <c r="L319" s="257">
        <v>1.25</v>
      </c>
      <c r="M319" s="19">
        <f t="shared" ref="M319:M320" si="445">G319*L319</f>
        <v>0</v>
      </c>
      <c r="N319" s="18"/>
      <c r="O319" s="18"/>
      <c r="S319" s="6"/>
      <c r="T319" s="6"/>
      <c r="U319" s="6"/>
      <c r="V319" s="6"/>
      <c r="W319" s="6"/>
      <c r="Y319" s="31"/>
      <c r="Z319" s="259">
        <v>0.43</v>
      </c>
      <c r="AB319" s="19">
        <f t="shared" si="443"/>
        <v>5.7489130434782609</v>
      </c>
    </row>
    <row r="320" spans="1:28" ht="14.25" customHeight="1" x14ac:dyDescent="0.3">
      <c r="A320" s="6">
        <v>18</v>
      </c>
      <c r="C320" s="257"/>
      <c r="D320" s="6"/>
      <c r="E320" s="46"/>
      <c r="G320" s="56">
        <f t="shared" si="444"/>
        <v>0</v>
      </c>
      <c r="H320" s="18"/>
      <c r="I320" s="18"/>
      <c r="J320" s="18"/>
      <c r="L320" s="257">
        <v>1.25</v>
      </c>
      <c r="M320" s="19">
        <f t="shared" si="445"/>
        <v>0</v>
      </c>
      <c r="N320" s="18"/>
      <c r="O320" s="18"/>
      <c r="R320" s="30" t="s">
        <v>20</v>
      </c>
      <c r="S320" s="15"/>
      <c r="T320" s="15"/>
      <c r="U320" s="16"/>
      <c r="V320" s="6"/>
      <c r="W320" s="6"/>
      <c r="Y320" s="31"/>
      <c r="Z320" s="259">
        <v>0.2</v>
      </c>
      <c r="AB320" s="19">
        <f t="shared" si="443"/>
        <v>2.6739130434782612</v>
      </c>
    </row>
    <row r="321" spans="1:28" ht="14.25" customHeight="1" x14ac:dyDescent="0.3">
      <c r="A321" s="6"/>
      <c r="C321" s="282"/>
      <c r="D321" s="6"/>
      <c r="E321" s="46"/>
      <c r="G321" s="23"/>
      <c r="H321" s="18"/>
      <c r="I321" s="18"/>
      <c r="J321" s="18"/>
      <c r="L321" s="258"/>
      <c r="M321" s="24"/>
      <c r="N321" s="18"/>
      <c r="O321" s="18"/>
      <c r="R321" s="31"/>
      <c r="S321" s="6" t="s">
        <v>21</v>
      </c>
      <c r="T321" s="6" t="s">
        <v>22</v>
      </c>
      <c r="U321" s="13" t="s">
        <v>23</v>
      </c>
      <c r="V321" s="6"/>
      <c r="W321" s="6"/>
      <c r="Y321" s="31"/>
      <c r="Z321" s="259">
        <v>0.25</v>
      </c>
      <c r="AB321" s="19">
        <f t="shared" si="443"/>
        <v>3.3423913043478262</v>
      </c>
    </row>
    <row r="322" spans="1:28" ht="14.25" customHeight="1" x14ac:dyDescent="0.3">
      <c r="A322" s="6">
        <v>19</v>
      </c>
      <c r="C322" s="257"/>
      <c r="D322" s="6"/>
      <c r="E322" s="46"/>
      <c r="G322" s="56">
        <f t="shared" ref="G322:G323" si="446">C322/0.23</f>
        <v>0</v>
      </c>
      <c r="H322" s="18"/>
      <c r="I322" s="18"/>
      <c r="J322" s="18"/>
      <c r="L322" s="257">
        <v>1.25</v>
      </c>
      <c r="M322" s="19">
        <f t="shared" ref="M322:M323" si="447">G322*L322</f>
        <v>0</v>
      </c>
      <c r="N322" s="18"/>
      <c r="O322" s="18"/>
      <c r="R322" s="31"/>
      <c r="S322" s="6"/>
      <c r="T322" s="6"/>
      <c r="U322" s="13"/>
      <c r="V322" s="6"/>
      <c r="W322" s="6"/>
      <c r="Y322" s="31" t="s">
        <v>24</v>
      </c>
      <c r="Z322" s="259">
        <v>0.23</v>
      </c>
      <c r="AB322" s="19">
        <f t="shared" si="443"/>
        <v>3.0750000000000002</v>
      </c>
    </row>
    <row r="323" spans="1:28" ht="14.25" customHeight="1" x14ac:dyDescent="0.3">
      <c r="A323" s="6">
        <v>20</v>
      </c>
      <c r="C323" s="257"/>
      <c r="D323" s="6"/>
      <c r="E323" s="46"/>
      <c r="G323" s="56">
        <f t="shared" si="446"/>
        <v>0</v>
      </c>
      <c r="H323" s="18"/>
      <c r="I323" s="18"/>
      <c r="J323" s="18"/>
      <c r="L323" s="257">
        <v>1.25</v>
      </c>
      <c r="M323" s="19">
        <f t="shared" si="447"/>
        <v>0</v>
      </c>
      <c r="N323" s="18"/>
      <c r="O323" s="18"/>
      <c r="R323" s="31" t="s">
        <v>25</v>
      </c>
      <c r="S323" s="259">
        <v>1.25</v>
      </c>
      <c r="T323" s="259"/>
      <c r="U323" s="13">
        <f t="shared" ref="U323:U327" si="448">T323*S323</f>
        <v>0</v>
      </c>
      <c r="V323" s="6"/>
      <c r="W323" s="6"/>
      <c r="Y323" s="31"/>
      <c r="Z323" s="6"/>
      <c r="AA323" s="6"/>
      <c r="AB323" s="13"/>
    </row>
    <row r="324" spans="1:28" ht="14.25" customHeight="1" x14ac:dyDescent="0.3">
      <c r="A324" s="6"/>
      <c r="C324" s="282"/>
      <c r="D324" s="6"/>
      <c r="E324" s="46"/>
      <c r="G324" s="23"/>
      <c r="H324" s="18"/>
      <c r="I324" s="18"/>
      <c r="J324" s="18"/>
      <c r="L324" s="258"/>
      <c r="M324" s="24"/>
      <c r="N324" s="18"/>
      <c r="O324" s="18"/>
      <c r="R324" s="31" t="s">
        <v>26</v>
      </c>
      <c r="S324" s="259">
        <v>2.25</v>
      </c>
      <c r="T324" s="259"/>
      <c r="U324" s="13">
        <f t="shared" si="448"/>
        <v>0</v>
      </c>
      <c r="V324" s="6"/>
      <c r="W324" s="6"/>
      <c r="Y324" s="38" t="s">
        <v>15</v>
      </c>
      <c r="Z324" s="259">
        <v>0.8</v>
      </c>
      <c r="AA324" s="259"/>
      <c r="AB324" s="13">
        <f t="shared" ref="AB324:AB329" si="449">AA324*Z324*1.25</f>
        <v>0</v>
      </c>
    </row>
    <row r="325" spans="1:28" ht="14.25" customHeight="1" x14ac:dyDescent="0.3">
      <c r="A325" s="6">
        <v>21</v>
      </c>
      <c r="C325" s="257"/>
      <c r="D325" s="6"/>
      <c r="E325" s="46"/>
      <c r="G325" s="56">
        <f t="shared" ref="G325:G326" si="450">C325/0.23</f>
        <v>0</v>
      </c>
      <c r="H325" s="18"/>
      <c r="I325" s="18"/>
      <c r="J325" s="18"/>
      <c r="L325" s="257">
        <v>1.25</v>
      </c>
      <c r="M325" s="19">
        <f t="shared" ref="M325:M326" si="451">G325*L325</f>
        <v>0</v>
      </c>
      <c r="N325" s="18"/>
      <c r="O325" s="18"/>
      <c r="R325" s="31" t="s">
        <v>27</v>
      </c>
      <c r="S325" s="259">
        <v>1.5</v>
      </c>
      <c r="T325" s="259"/>
      <c r="U325" s="13">
        <f t="shared" si="448"/>
        <v>0</v>
      </c>
      <c r="V325" s="6"/>
      <c r="W325" s="6"/>
      <c r="Y325" s="31"/>
      <c r="Z325" s="259">
        <v>0.7</v>
      </c>
      <c r="AA325" s="259"/>
      <c r="AB325" s="13">
        <f t="shared" si="449"/>
        <v>0</v>
      </c>
    </row>
    <row r="326" spans="1:28" ht="14.25" customHeight="1" x14ac:dyDescent="0.3">
      <c r="A326" s="6">
        <v>22</v>
      </c>
      <c r="C326" s="257"/>
      <c r="D326" s="6"/>
      <c r="E326" s="46"/>
      <c r="G326" s="56">
        <f t="shared" si="450"/>
        <v>0</v>
      </c>
      <c r="H326" s="18"/>
      <c r="I326" s="18"/>
      <c r="J326" s="18"/>
      <c r="L326" s="257">
        <v>1.25</v>
      </c>
      <c r="M326" s="19">
        <f t="shared" si="451"/>
        <v>0</v>
      </c>
      <c r="N326" s="18"/>
      <c r="O326" s="18"/>
      <c r="R326" s="31" t="s">
        <v>28</v>
      </c>
      <c r="S326" s="259">
        <v>1.4</v>
      </c>
      <c r="T326" s="259"/>
      <c r="U326" s="13">
        <f t="shared" si="448"/>
        <v>0</v>
      </c>
      <c r="V326" s="6"/>
      <c r="W326" s="6"/>
      <c r="Y326" s="31"/>
      <c r="Z326" s="259">
        <v>0.6</v>
      </c>
      <c r="AA326" s="259"/>
      <c r="AB326" s="13">
        <f t="shared" si="449"/>
        <v>0</v>
      </c>
    </row>
    <row r="327" spans="1:28" ht="14.25" customHeight="1" x14ac:dyDescent="0.3">
      <c r="A327" s="6"/>
      <c r="C327" s="282"/>
      <c r="D327" s="6"/>
      <c r="E327" s="46"/>
      <c r="G327" s="23"/>
      <c r="H327" s="18"/>
      <c r="I327" s="18"/>
      <c r="J327" s="18"/>
      <c r="L327" s="258"/>
      <c r="M327" s="24"/>
      <c r="N327" s="18"/>
      <c r="O327" s="18"/>
      <c r="R327" s="39" t="s">
        <v>29</v>
      </c>
      <c r="S327" s="260">
        <v>2.5</v>
      </c>
      <c r="T327" s="260"/>
      <c r="U327" s="41">
        <f t="shared" si="448"/>
        <v>0</v>
      </c>
      <c r="V327" s="6"/>
      <c r="W327" s="6"/>
      <c r="Y327" s="31"/>
      <c r="Z327" s="259">
        <v>0.5</v>
      </c>
      <c r="AA327" s="259"/>
      <c r="AB327" s="13">
        <f t="shared" si="449"/>
        <v>0</v>
      </c>
    </row>
    <row r="328" spans="1:28" ht="14.25" customHeight="1" x14ac:dyDescent="0.3">
      <c r="A328" s="6">
        <v>23</v>
      </c>
      <c r="C328" s="257"/>
      <c r="D328" s="6"/>
      <c r="E328" s="46"/>
      <c r="G328" s="56">
        <f t="shared" ref="G328:G329" si="452">C328/0.23</f>
        <v>0</v>
      </c>
      <c r="H328" s="18"/>
      <c r="I328" s="18"/>
      <c r="J328" s="18"/>
      <c r="L328" s="257">
        <v>1.25</v>
      </c>
      <c r="M328" s="19">
        <f t="shared" ref="M328:M329" si="453">G328*L328</f>
        <v>0</v>
      </c>
      <c r="N328" s="18"/>
      <c r="O328" s="18"/>
      <c r="S328" s="6"/>
      <c r="T328" s="6"/>
      <c r="U328" s="6"/>
      <c r="V328" s="6"/>
      <c r="W328" s="6"/>
      <c r="Y328" s="31"/>
      <c r="Z328" s="259">
        <v>0.4</v>
      </c>
      <c r="AA328" s="259"/>
      <c r="AB328" s="13">
        <f t="shared" si="449"/>
        <v>0</v>
      </c>
    </row>
    <row r="329" spans="1:28" ht="14.25" customHeight="1" x14ac:dyDescent="0.3">
      <c r="A329" s="6">
        <v>24</v>
      </c>
      <c r="C329" s="257"/>
      <c r="D329" s="6"/>
      <c r="E329" s="46"/>
      <c r="G329" s="56">
        <f t="shared" si="452"/>
        <v>0</v>
      </c>
      <c r="H329" s="18"/>
      <c r="I329" s="18"/>
      <c r="J329" s="18"/>
      <c r="L329" s="257">
        <v>1.25</v>
      </c>
      <c r="M329" s="19">
        <f t="shared" si="453"/>
        <v>0</v>
      </c>
      <c r="N329" s="18"/>
      <c r="O329" s="18"/>
      <c r="P329" s="6"/>
      <c r="Q329" s="6"/>
      <c r="S329" s="6"/>
      <c r="T329" s="6"/>
      <c r="U329" s="6"/>
      <c r="V329" s="6"/>
      <c r="W329" s="6"/>
      <c r="Y329" s="39"/>
      <c r="Z329" s="260">
        <v>0.3</v>
      </c>
      <c r="AA329" s="260"/>
      <c r="AB329" s="41">
        <f t="shared" si="449"/>
        <v>0</v>
      </c>
    </row>
    <row r="330" spans="1:28" ht="14.25" customHeight="1" x14ac:dyDescent="0.3">
      <c r="A330" s="6"/>
      <c r="C330" s="282"/>
      <c r="D330" s="6"/>
      <c r="E330" s="46"/>
      <c r="G330" s="23"/>
      <c r="H330" s="18"/>
      <c r="I330" s="18"/>
      <c r="J330" s="18"/>
      <c r="L330" s="258"/>
      <c r="M330" s="24"/>
      <c r="N330" s="18"/>
      <c r="O330" s="18"/>
      <c r="P330" s="6"/>
      <c r="Q330" s="6"/>
      <c r="R330" s="6"/>
      <c r="S330" s="6"/>
      <c r="T330" s="6"/>
      <c r="X330" s="6"/>
      <c r="Y330" s="6"/>
      <c r="Z330" s="6"/>
    </row>
    <row r="331" spans="1:28" ht="14.25" customHeight="1" x14ac:dyDescent="0.3">
      <c r="A331" s="6">
        <v>25</v>
      </c>
      <c r="C331" s="257"/>
      <c r="D331" s="6"/>
      <c r="E331" s="46"/>
      <c r="G331" s="56">
        <f t="shared" ref="G331:G332" si="454">C331/0.23</f>
        <v>0</v>
      </c>
      <c r="H331" s="18"/>
      <c r="I331" s="18"/>
      <c r="J331" s="18"/>
      <c r="L331" s="257">
        <v>1.25</v>
      </c>
      <c r="M331" s="19">
        <f t="shared" ref="M331:M332" si="455">G331*L331</f>
        <v>0</v>
      </c>
      <c r="N331" s="18"/>
      <c r="O331" s="18"/>
      <c r="P331" s="6"/>
      <c r="Q331" s="6"/>
      <c r="R331" s="6"/>
      <c r="S331" s="6"/>
      <c r="T331" s="6"/>
      <c r="X331" s="6"/>
      <c r="Y331" s="6"/>
      <c r="Z331" s="6"/>
    </row>
    <row r="332" spans="1:28" ht="14.25" customHeight="1" x14ac:dyDescent="0.3">
      <c r="A332" s="6">
        <v>26</v>
      </c>
      <c r="C332" s="257"/>
      <c r="D332" s="6"/>
      <c r="E332" s="46"/>
      <c r="G332" s="56">
        <f t="shared" si="454"/>
        <v>0</v>
      </c>
      <c r="H332" s="18"/>
      <c r="I332" s="18"/>
      <c r="J332" s="18"/>
      <c r="L332" s="257">
        <v>1.25</v>
      </c>
      <c r="M332" s="19">
        <f t="shared" si="455"/>
        <v>0</v>
      </c>
      <c r="N332" s="18"/>
      <c r="O332" s="18"/>
      <c r="P332" s="6"/>
      <c r="Q332" s="6"/>
      <c r="R332" s="6"/>
      <c r="S332" s="6"/>
      <c r="T332" s="6"/>
      <c r="X332" s="6"/>
      <c r="Y332" s="6"/>
      <c r="Z332" s="6"/>
    </row>
    <row r="333" spans="1:28" ht="14.25" customHeight="1" x14ac:dyDescent="0.3">
      <c r="A333" s="6"/>
      <c r="C333" s="282"/>
      <c r="D333" s="6"/>
      <c r="E333" s="46"/>
      <c r="G333" s="23"/>
      <c r="H333" s="18"/>
      <c r="I333" s="18"/>
      <c r="J333" s="18"/>
      <c r="L333" s="258"/>
      <c r="M333" s="24"/>
      <c r="N333" s="18"/>
      <c r="O333" s="18"/>
      <c r="P333" s="6"/>
      <c r="Q333" s="6"/>
      <c r="R333" s="6"/>
      <c r="S333" s="6"/>
      <c r="T333" s="6"/>
      <c r="X333" s="6"/>
      <c r="Y333" s="6"/>
      <c r="Z333" s="6"/>
    </row>
    <row r="334" spans="1:28" ht="14.25" customHeight="1" x14ac:dyDescent="0.3">
      <c r="A334" s="6">
        <v>27</v>
      </c>
      <c r="C334" s="257"/>
      <c r="D334" s="6"/>
      <c r="E334" s="46"/>
      <c r="G334" s="56">
        <f t="shared" ref="G334:G335" si="456">C334/0.23</f>
        <v>0</v>
      </c>
      <c r="H334" s="18"/>
      <c r="I334" s="18"/>
      <c r="J334" s="18"/>
      <c r="L334" s="257">
        <v>1.25</v>
      </c>
      <c r="M334" s="19">
        <f t="shared" ref="M334:M335" si="457">G334*L334</f>
        <v>0</v>
      </c>
      <c r="N334" s="18"/>
      <c r="O334" s="18"/>
      <c r="P334" s="6"/>
      <c r="Q334" s="6"/>
      <c r="R334" s="6"/>
      <c r="S334" s="6"/>
      <c r="T334" s="6"/>
      <c r="X334" s="6"/>
      <c r="Y334" s="6"/>
      <c r="Z334" s="6"/>
    </row>
    <row r="335" spans="1:28" ht="14.25" customHeight="1" x14ac:dyDescent="0.3">
      <c r="A335" s="6">
        <v>28</v>
      </c>
      <c r="C335" s="257"/>
      <c r="D335" s="6"/>
      <c r="E335" s="46"/>
      <c r="G335" s="56">
        <f t="shared" si="456"/>
        <v>0</v>
      </c>
      <c r="H335" s="18"/>
      <c r="I335" s="18"/>
      <c r="J335" s="18"/>
      <c r="L335" s="257">
        <v>1.25</v>
      </c>
      <c r="M335" s="19">
        <f t="shared" si="457"/>
        <v>0</v>
      </c>
      <c r="N335" s="18"/>
      <c r="O335" s="18"/>
      <c r="P335" s="6"/>
      <c r="Q335" s="6"/>
      <c r="R335" s="6"/>
      <c r="S335" s="6"/>
      <c r="T335" s="6"/>
      <c r="X335" s="6"/>
      <c r="Y335" s="6"/>
      <c r="Z335" s="6"/>
    </row>
    <row r="336" spans="1:28" ht="14.25" customHeight="1" x14ac:dyDescent="0.3">
      <c r="A336" s="6"/>
      <c r="C336" s="282"/>
      <c r="D336" s="6"/>
      <c r="E336" s="46"/>
      <c r="G336" s="23"/>
      <c r="H336" s="18"/>
      <c r="I336" s="18"/>
      <c r="J336" s="18"/>
      <c r="L336" s="258"/>
      <c r="M336" s="24"/>
      <c r="N336" s="18"/>
      <c r="O336" s="18"/>
      <c r="P336" s="6"/>
      <c r="Q336" s="6"/>
      <c r="R336" s="6"/>
      <c r="S336" s="6"/>
      <c r="T336" s="6"/>
      <c r="X336" s="6"/>
      <c r="Y336" s="6"/>
      <c r="Z336" s="6"/>
    </row>
    <row r="337" spans="1:26" ht="14.25" customHeight="1" x14ac:dyDescent="0.3">
      <c r="A337" s="6">
        <v>29</v>
      </c>
      <c r="C337" s="257"/>
      <c r="D337" s="6"/>
      <c r="E337" s="46"/>
      <c r="G337" s="56">
        <f t="shared" ref="G337:G338" si="458">C337/0.23</f>
        <v>0</v>
      </c>
      <c r="H337" s="18"/>
      <c r="I337" s="18"/>
      <c r="J337" s="18"/>
      <c r="L337" s="257">
        <v>1.25</v>
      </c>
      <c r="M337" s="19">
        <f t="shared" ref="M337:M338" si="459">G337*L337</f>
        <v>0</v>
      </c>
      <c r="N337" s="18"/>
      <c r="O337" s="18"/>
      <c r="P337" s="6"/>
      <c r="Q337" s="6"/>
      <c r="R337" s="6"/>
      <c r="S337" s="6"/>
      <c r="T337" s="6"/>
      <c r="X337" s="6"/>
      <c r="Y337" s="6"/>
      <c r="Z337" s="6"/>
    </row>
    <row r="338" spans="1:26" ht="14.25" customHeight="1" x14ac:dyDescent="0.3">
      <c r="A338" s="6">
        <v>30</v>
      </c>
      <c r="C338" s="257"/>
      <c r="D338" s="6"/>
      <c r="E338" s="46"/>
      <c r="G338" s="56">
        <f t="shared" si="458"/>
        <v>0</v>
      </c>
      <c r="H338" s="18"/>
      <c r="I338" s="18"/>
      <c r="J338" s="18"/>
      <c r="L338" s="257">
        <v>1.25</v>
      </c>
      <c r="M338" s="19">
        <f t="shared" si="459"/>
        <v>0</v>
      </c>
      <c r="N338" s="18"/>
      <c r="O338" s="18"/>
      <c r="P338" s="6"/>
      <c r="Q338" s="6"/>
      <c r="R338" s="6"/>
      <c r="S338" s="6"/>
      <c r="T338" s="6"/>
      <c r="X338" s="6"/>
      <c r="Y338" s="6"/>
      <c r="Z338" s="6"/>
    </row>
    <row r="339" spans="1:26" ht="14.25" customHeight="1" x14ac:dyDescent="0.3">
      <c r="C339" s="282"/>
      <c r="D339" s="6"/>
      <c r="E339" s="46"/>
      <c r="G339" s="23"/>
      <c r="H339" s="18"/>
      <c r="I339" s="18"/>
      <c r="J339" s="18"/>
      <c r="L339" s="258"/>
      <c r="M339" s="24"/>
      <c r="N339" s="18"/>
      <c r="O339" s="18"/>
      <c r="P339" s="6"/>
      <c r="Q339" s="6"/>
      <c r="R339" s="6"/>
      <c r="S339" s="6"/>
      <c r="T339" s="6"/>
      <c r="X339" s="6"/>
      <c r="Y339" s="6"/>
      <c r="Z339" s="6"/>
    </row>
    <row r="340" spans="1:26" ht="14.25" customHeight="1" x14ac:dyDescent="0.3">
      <c r="C340" s="257"/>
      <c r="D340" s="6"/>
      <c r="E340" s="46"/>
      <c r="G340" s="20"/>
      <c r="J340" s="6"/>
      <c r="L340" s="257"/>
      <c r="M340" s="19"/>
      <c r="N340" s="18"/>
      <c r="O340" s="18"/>
      <c r="P340" s="6"/>
      <c r="Q340" s="6"/>
      <c r="R340" s="6"/>
      <c r="S340" s="6"/>
      <c r="T340" s="6"/>
      <c r="X340" s="6"/>
      <c r="Y340" s="6"/>
      <c r="Z340" s="6"/>
    </row>
    <row r="341" spans="1:26" ht="14.25" customHeight="1" x14ac:dyDescent="0.3">
      <c r="C341" s="257"/>
      <c r="D341" s="6"/>
      <c r="E341" s="46"/>
      <c r="G341" s="20"/>
      <c r="J341" s="6"/>
      <c r="L341" s="257"/>
      <c r="M341" s="19"/>
      <c r="N341" s="18"/>
      <c r="O341" s="18"/>
      <c r="P341" s="6"/>
      <c r="Q341" s="6"/>
      <c r="R341" s="6"/>
      <c r="S341" s="6"/>
      <c r="T341" s="6"/>
      <c r="X341" s="6"/>
      <c r="Y341" s="6"/>
      <c r="Z341" s="6"/>
    </row>
    <row r="342" spans="1:26" ht="14.25" customHeight="1" x14ac:dyDescent="0.3">
      <c r="C342" s="20"/>
      <c r="D342" s="6"/>
      <c r="E342" s="46"/>
      <c r="G342" s="20"/>
      <c r="J342" s="6"/>
      <c r="L342" s="20"/>
      <c r="M342" s="19"/>
      <c r="N342" s="18"/>
      <c r="O342" s="18"/>
      <c r="P342" s="6"/>
      <c r="Q342" s="6"/>
      <c r="R342" s="6"/>
      <c r="S342" s="6"/>
      <c r="T342" s="6"/>
      <c r="X342" s="6"/>
      <c r="Y342" s="6"/>
      <c r="Z342" s="6"/>
    </row>
    <row r="343" spans="1:26" ht="14.25" customHeight="1" x14ac:dyDescent="0.3">
      <c r="C343" s="61">
        <f>SUM(C295:C338)</f>
        <v>2.46</v>
      </c>
      <c r="D343" s="6"/>
      <c r="E343" s="46"/>
      <c r="G343" s="63">
        <f>SUM(G294:G338)</f>
        <v>10.695652173913043</v>
      </c>
      <c r="H343" s="18"/>
      <c r="I343" s="18"/>
      <c r="J343" s="18"/>
      <c r="L343" s="45">
        <v>1.25</v>
      </c>
      <c r="M343" s="44">
        <f>G343*L343</f>
        <v>13.369565217391305</v>
      </c>
      <c r="N343" s="18"/>
      <c r="O343" s="18"/>
    </row>
  </sheetData>
  <sheetProtection algorithmName="SHA-512" hashValue="Y7g0HfI3HXcKDx650QfbOB7BkJ05Yw5tHmO+mmPo3XbVSJQrlc+ulMqI6b8yLVcGjj8KttE+RFixr1u8s+cHLw==" saltValue="RmhIflQqdt3UDWNXv49XLw==" spinCount="100000" sheet="1" objects="1" scenarios="1"/>
  <mergeCells count="124">
    <mergeCell ref="D97:E97"/>
    <mergeCell ref="D98:E98"/>
    <mergeCell ref="D183:E183"/>
    <mergeCell ref="D184:E184"/>
    <mergeCell ref="D181:E181"/>
    <mergeCell ref="D182:E182"/>
    <mergeCell ref="D196:E196"/>
    <mergeCell ref="D193:E193"/>
    <mergeCell ref="D222:E222"/>
    <mergeCell ref="D197:E197"/>
    <mergeCell ref="D198:E198"/>
    <mergeCell ref="D199:E199"/>
    <mergeCell ref="D200:E200"/>
    <mergeCell ref="D201:E201"/>
    <mergeCell ref="D202:E202"/>
    <mergeCell ref="D103:E103"/>
    <mergeCell ref="D104:E104"/>
    <mergeCell ref="D105:E105"/>
    <mergeCell ref="D106:E106"/>
    <mergeCell ref="D99:E99"/>
    <mergeCell ref="D100:E100"/>
    <mergeCell ref="D102:E102"/>
    <mergeCell ref="D223:E223"/>
    <mergeCell ref="D218:E218"/>
    <mergeCell ref="D219:E219"/>
    <mergeCell ref="D220:E220"/>
    <mergeCell ref="D221:E221"/>
    <mergeCell ref="D213:E213"/>
    <mergeCell ref="D214:E214"/>
    <mergeCell ref="D217:E217"/>
    <mergeCell ref="D215:E215"/>
    <mergeCell ref="D216:E216"/>
    <mergeCell ref="B112:C112"/>
    <mergeCell ref="B117:E117"/>
    <mergeCell ref="D101:E101"/>
    <mergeCell ref="D107:E107"/>
    <mergeCell ref="B174:E174"/>
    <mergeCell ref="B176:E176"/>
    <mergeCell ref="M176:O176"/>
    <mergeCell ref="L176:L177"/>
    <mergeCell ref="S240:U240"/>
    <mergeCell ref="D208:E208"/>
    <mergeCell ref="D203:E203"/>
    <mergeCell ref="D204:E204"/>
    <mergeCell ref="D205:E205"/>
    <mergeCell ref="D206:E206"/>
    <mergeCell ref="D207:E207"/>
    <mergeCell ref="D209:E209"/>
    <mergeCell ref="D210:E210"/>
    <mergeCell ref="D211:E211"/>
    <mergeCell ref="D212:E212"/>
    <mergeCell ref="D227:E227"/>
    <mergeCell ref="B233:E233"/>
    <mergeCell ref="D226:E226"/>
    <mergeCell ref="D224:E224"/>
    <mergeCell ref="D225:E225"/>
    <mergeCell ref="S297:U297"/>
    <mergeCell ref="G176:J176"/>
    <mergeCell ref="D111:E111"/>
    <mergeCell ref="D108:E108"/>
    <mergeCell ref="D109:E109"/>
    <mergeCell ref="D110:E110"/>
    <mergeCell ref="B119:E119"/>
    <mergeCell ref="H119:J119"/>
    <mergeCell ref="D177:E177"/>
    <mergeCell ref="D185:E185"/>
    <mergeCell ref="D186:E186"/>
    <mergeCell ref="D188:E188"/>
    <mergeCell ref="D192:E192"/>
    <mergeCell ref="D189:E189"/>
    <mergeCell ref="D190:E190"/>
    <mergeCell ref="D191:E191"/>
    <mergeCell ref="D178:E178"/>
    <mergeCell ref="D179:E179"/>
    <mergeCell ref="D180:E180"/>
    <mergeCell ref="L292:L293"/>
    <mergeCell ref="B290:E290"/>
    <mergeCell ref="D187:E187"/>
    <mergeCell ref="D194:E194"/>
    <mergeCell ref="D195:E195"/>
    <mergeCell ref="D96:E96"/>
    <mergeCell ref="D86:E86"/>
    <mergeCell ref="D75:E75"/>
    <mergeCell ref="D76:E76"/>
    <mergeCell ref="D78:E78"/>
    <mergeCell ref="D77:E77"/>
    <mergeCell ref="D68:E68"/>
    <mergeCell ref="D71:E71"/>
    <mergeCell ref="D74:E74"/>
    <mergeCell ref="D84:E84"/>
    <mergeCell ref="D85:E85"/>
    <mergeCell ref="D83:E83"/>
    <mergeCell ref="D80:E80"/>
    <mergeCell ref="D72:E72"/>
    <mergeCell ref="D73:E73"/>
    <mergeCell ref="D94:E94"/>
    <mergeCell ref="D95:E95"/>
    <mergeCell ref="D90:E90"/>
    <mergeCell ref="D89:E89"/>
    <mergeCell ref="D87:E87"/>
    <mergeCell ref="D88:E88"/>
    <mergeCell ref="D91:E91"/>
    <mergeCell ref="D93:E93"/>
    <mergeCell ref="D92:E92"/>
    <mergeCell ref="M60:O60"/>
    <mergeCell ref="L60:L61"/>
    <mergeCell ref="D79:E79"/>
    <mergeCell ref="D81:E81"/>
    <mergeCell ref="D82:E82"/>
    <mergeCell ref="D64:E64"/>
    <mergeCell ref="D67:E67"/>
    <mergeCell ref="D63:E63"/>
    <mergeCell ref="D62:E62"/>
    <mergeCell ref="D66:E66"/>
    <mergeCell ref="D65:E65"/>
    <mergeCell ref="B1:E1"/>
    <mergeCell ref="B58:E58"/>
    <mergeCell ref="H3:J3"/>
    <mergeCell ref="B3:E3"/>
    <mergeCell ref="G60:J60"/>
    <mergeCell ref="D69:E69"/>
    <mergeCell ref="D70:E70"/>
    <mergeCell ref="B60:E60"/>
    <mergeCell ref="D61:E6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G122"/>
  <sheetViews>
    <sheetView zoomScale="70" zoomScaleNormal="70" workbookViewId="0">
      <selection activeCell="O101" sqref="O101"/>
    </sheetView>
  </sheetViews>
  <sheetFormatPr defaultColWidth="14.44140625" defaultRowHeight="15" customHeight="1" x14ac:dyDescent="0.3"/>
  <cols>
    <col min="1" max="1" width="9" customWidth="1"/>
    <col min="2" max="2" width="11.6640625" customWidth="1"/>
    <col min="3" max="10" width="11.109375" customWidth="1"/>
    <col min="11" max="11" width="12.44140625" customWidth="1"/>
    <col min="12" max="24" width="11.109375" customWidth="1"/>
    <col min="25" max="25" width="12.109375" customWidth="1"/>
    <col min="26" max="33" width="11.109375" customWidth="1"/>
  </cols>
  <sheetData>
    <row r="1" spans="2:31" ht="14.25" customHeight="1" x14ac:dyDescent="0.3">
      <c r="C1" s="6"/>
      <c r="D1" s="6"/>
      <c r="E1" s="6"/>
      <c r="L1" s="6"/>
      <c r="M1" s="6"/>
      <c r="N1" s="6"/>
      <c r="O1" s="6"/>
    </row>
    <row r="2" spans="2:31" ht="14.25" customHeight="1" x14ac:dyDescent="0.3">
      <c r="B2" s="6" t="s">
        <v>35</v>
      </c>
      <c r="C2" s="6" t="s">
        <v>36</v>
      </c>
      <c r="D2" s="6" t="s">
        <v>36</v>
      </c>
      <c r="E2" s="6" t="s">
        <v>37</v>
      </c>
      <c r="F2" s="6" t="s">
        <v>35</v>
      </c>
      <c r="H2" s="362" t="s">
        <v>38</v>
      </c>
      <c r="I2" s="363"/>
      <c r="J2" s="363"/>
      <c r="K2" s="353"/>
      <c r="L2" s="6"/>
      <c r="Y2" s="64" t="s">
        <v>39</v>
      </c>
      <c r="Z2" s="15"/>
      <c r="AA2" s="15" t="s">
        <v>40</v>
      </c>
      <c r="AB2" s="15"/>
      <c r="AC2" s="15" t="s">
        <v>41</v>
      </c>
      <c r="AD2" s="15"/>
      <c r="AE2" s="16" t="s">
        <v>12</v>
      </c>
    </row>
    <row r="3" spans="2:31" ht="14.25" customHeight="1" x14ac:dyDescent="0.3">
      <c r="B3" s="6"/>
      <c r="C3" s="6"/>
      <c r="D3" s="6"/>
      <c r="E3" s="6"/>
      <c r="H3" s="350" t="s">
        <v>42</v>
      </c>
      <c r="I3" s="361"/>
      <c r="J3" s="361"/>
      <c r="K3" s="351"/>
      <c r="L3" s="6"/>
      <c r="M3" s="65" t="s">
        <v>43</v>
      </c>
      <c r="N3" s="66"/>
      <c r="O3" s="66"/>
      <c r="P3" s="66"/>
      <c r="Q3" s="66"/>
      <c r="R3" s="67"/>
      <c r="Y3" s="31"/>
      <c r="Z3" s="6"/>
      <c r="AA3" s="6"/>
      <c r="AB3" s="6"/>
      <c r="AC3" s="6"/>
      <c r="AD3" s="6"/>
      <c r="AE3" s="13"/>
    </row>
    <row r="4" spans="2:31" ht="14.25" customHeight="1" x14ac:dyDescent="0.3">
      <c r="B4" s="68">
        <v>1</v>
      </c>
      <c r="C4" s="68">
        <v>180</v>
      </c>
      <c r="D4" s="69">
        <v>0.18</v>
      </c>
      <c r="E4" s="69">
        <f t="shared" ref="E4:E15" si="0">C4/230</f>
        <v>0.78260869565217395</v>
      </c>
      <c r="F4" s="68">
        <v>1</v>
      </c>
      <c r="H4" s="12"/>
      <c r="I4" s="6"/>
      <c r="J4" s="6"/>
      <c r="K4" s="13"/>
      <c r="L4" s="6"/>
      <c r="M4" s="31"/>
      <c r="R4" s="70"/>
      <c r="Y4" s="31" t="s">
        <v>44</v>
      </c>
      <c r="AA4" s="71">
        <v>100</v>
      </c>
      <c r="AB4" s="71"/>
      <c r="AC4" s="269">
        <v>119.36</v>
      </c>
      <c r="AE4" s="70">
        <f t="shared" ref="AE4:AE19" si="1">AA4*AC4/1000</f>
        <v>11.936</v>
      </c>
    </row>
    <row r="5" spans="2:31" ht="14.25" customHeight="1" x14ac:dyDescent="0.3">
      <c r="B5" s="6">
        <v>2</v>
      </c>
      <c r="C5" s="6">
        <v>360</v>
      </c>
      <c r="D5" s="18">
        <v>0.36</v>
      </c>
      <c r="E5" s="18">
        <f t="shared" si="0"/>
        <v>1.5652173913043479</v>
      </c>
      <c r="F5" s="6">
        <v>2</v>
      </c>
      <c r="H5" s="52" t="s">
        <v>45</v>
      </c>
      <c r="I5" s="40" t="s">
        <v>46</v>
      </c>
      <c r="J5" s="40" t="s">
        <v>47</v>
      </c>
      <c r="K5" s="41" t="s">
        <v>37</v>
      </c>
      <c r="L5" s="6"/>
      <c r="M5" s="12" t="s">
        <v>48</v>
      </c>
      <c r="N5" s="6" t="s">
        <v>49</v>
      </c>
      <c r="O5" s="6" t="s">
        <v>50</v>
      </c>
      <c r="P5" s="6" t="s">
        <v>51</v>
      </c>
      <c r="Q5" s="6" t="s">
        <v>52</v>
      </c>
      <c r="R5" s="13" t="s">
        <v>53</v>
      </c>
      <c r="Y5" s="31" t="s">
        <v>54</v>
      </c>
      <c r="AA5" s="71">
        <v>125</v>
      </c>
      <c r="AB5" s="71"/>
      <c r="AC5" s="269">
        <v>37.5</v>
      </c>
      <c r="AE5" s="70">
        <f t="shared" si="1"/>
        <v>4.6875</v>
      </c>
    </row>
    <row r="6" spans="2:31" ht="14.25" customHeight="1" x14ac:dyDescent="0.3">
      <c r="B6" s="68">
        <v>3</v>
      </c>
      <c r="C6" s="68">
        <v>540</v>
      </c>
      <c r="D6" s="69">
        <v>0.54</v>
      </c>
      <c r="E6" s="69">
        <f t="shared" si="0"/>
        <v>2.347826086956522</v>
      </c>
      <c r="F6" s="68">
        <v>3</v>
      </c>
      <c r="H6" s="261"/>
      <c r="I6" s="259"/>
      <c r="J6" s="259"/>
      <c r="K6" s="265"/>
      <c r="L6" s="6"/>
      <c r="M6" s="31"/>
      <c r="R6" s="70"/>
      <c r="Y6" s="31" t="s">
        <v>55</v>
      </c>
      <c r="AA6" s="71">
        <v>125</v>
      </c>
      <c r="AB6" s="71"/>
      <c r="AC6" s="269">
        <v>119.36</v>
      </c>
      <c r="AE6" s="70">
        <f t="shared" si="1"/>
        <v>14.92</v>
      </c>
    </row>
    <row r="7" spans="2:31" ht="14.25" customHeight="1" x14ac:dyDescent="0.3">
      <c r="B7" s="6">
        <v>4</v>
      </c>
      <c r="C7" s="6">
        <v>720</v>
      </c>
      <c r="D7" s="18">
        <v>0.72</v>
      </c>
      <c r="E7" s="18">
        <f t="shared" si="0"/>
        <v>3.1304347826086958</v>
      </c>
      <c r="F7" s="6">
        <v>4</v>
      </c>
      <c r="H7" s="261"/>
      <c r="I7" s="259"/>
      <c r="J7" s="259"/>
      <c r="K7" s="265"/>
      <c r="L7" s="6"/>
      <c r="M7" s="264">
        <v>9</v>
      </c>
      <c r="N7" s="259">
        <v>7.5</v>
      </c>
      <c r="O7" s="259">
        <v>14</v>
      </c>
      <c r="P7" s="259">
        <v>10</v>
      </c>
      <c r="Q7" s="259">
        <v>18</v>
      </c>
      <c r="R7" s="72">
        <f>O7+(((M7-N7)*(Q7-O7))/(P7-N7))</f>
        <v>16.399999999999999</v>
      </c>
      <c r="Y7" s="31" t="s">
        <v>56</v>
      </c>
      <c r="AA7" s="71">
        <v>75</v>
      </c>
      <c r="AB7" s="71"/>
      <c r="AC7" s="269">
        <v>14.21</v>
      </c>
      <c r="AE7" s="70">
        <f t="shared" si="1"/>
        <v>1.06575</v>
      </c>
    </row>
    <row r="8" spans="2:31" ht="14.25" customHeight="1" x14ac:dyDescent="0.3">
      <c r="B8" s="68">
        <v>5</v>
      </c>
      <c r="C8" s="68">
        <v>900</v>
      </c>
      <c r="D8" s="69">
        <v>0.9</v>
      </c>
      <c r="E8" s="69">
        <f t="shared" si="0"/>
        <v>3.9130434782608696</v>
      </c>
      <c r="F8" s="68">
        <v>5</v>
      </c>
      <c r="H8" s="261"/>
      <c r="I8" s="259"/>
      <c r="J8" s="259"/>
      <c r="K8" s="265"/>
      <c r="L8" s="6"/>
      <c r="M8" s="39"/>
      <c r="N8" s="62"/>
      <c r="O8" s="62"/>
      <c r="P8" s="62"/>
      <c r="Q8" s="62"/>
      <c r="R8" s="73"/>
      <c r="Y8" s="31" t="s">
        <v>57</v>
      </c>
      <c r="AA8" s="71">
        <v>20</v>
      </c>
      <c r="AB8" s="71"/>
      <c r="AC8" s="269">
        <v>4.41</v>
      </c>
      <c r="AE8" s="70">
        <f t="shared" si="1"/>
        <v>8.8200000000000001E-2</v>
      </c>
    </row>
    <row r="9" spans="2:31" ht="14.25" customHeight="1" x14ac:dyDescent="0.3">
      <c r="B9" s="6">
        <v>6</v>
      </c>
      <c r="C9" s="6">
        <v>1080</v>
      </c>
      <c r="D9" s="18">
        <v>1.08</v>
      </c>
      <c r="E9" s="18">
        <f t="shared" si="0"/>
        <v>4.6956521739130439</v>
      </c>
      <c r="F9" s="6">
        <v>6</v>
      </c>
      <c r="H9" s="261"/>
      <c r="I9" s="259"/>
      <c r="J9" s="259"/>
      <c r="K9" s="265"/>
      <c r="L9" s="6"/>
      <c r="Y9" s="31" t="s">
        <v>58</v>
      </c>
      <c r="AA9" s="71">
        <v>30</v>
      </c>
      <c r="AB9" s="71"/>
      <c r="AC9" s="269">
        <v>28.08</v>
      </c>
      <c r="AE9" s="70">
        <f t="shared" si="1"/>
        <v>0.84239999999999993</v>
      </c>
    </row>
    <row r="10" spans="2:31" ht="14.25" customHeight="1" x14ac:dyDescent="0.3">
      <c r="B10" s="68">
        <v>7</v>
      </c>
      <c r="C10" s="68">
        <v>1260</v>
      </c>
      <c r="D10" s="69">
        <v>1.26</v>
      </c>
      <c r="E10" s="69">
        <f t="shared" si="0"/>
        <v>5.4782608695652177</v>
      </c>
      <c r="F10" s="68">
        <v>7</v>
      </c>
      <c r="H10" s="261"/>
      <c r="I10" s="259"/>
      <c r="J10" s="259"/>
      <c r="K10" s="265"/>
      <c r="L10" s="6"/>
      <c r="Y10" s="31" t="s">
        <v>59</v>
      </c>
      <c r="AA10" s="71">
        <v>400</v>
      </c>
      <c r="AB10" s="71"/>
      <c r="AC10" s="269">
        <v>119.36</v>
      </c>
      <c r="AE10" s="70">
        <f t="shared" si="1"/>
        <v>47.744</v>
      </c>
    </row>
    <row r="11" spans="2:31" ht="14.25" customHeight="1" x14ac:dyDescent="0.3">
      <c r="B11" s="6">
        <v>8</v>
      </c>
      <c r="C11" s="6">
        <v>1440</v>
      </c>
      <c r="D11" s="18">
        <v>1.44</v>
      </c>
      <c r="E11" s="18">
        <f t="shared" si="0"/>
        <v>6.2608695652173916</v>
      </c>
      <c r="F11" s="6">
        <v>8</v>
      </c>
      <c r="H11" s="261"/>
      <c r="I11" s="259"/>
      <c r="J11" s="259"/>
      <c r="K11" s="265"/>
      <c r="L11" s="6"/>
      <c r="M11" s="362" t="s">
        <v>60</v>
      </c>
      <c r="N11" s="363"/>
      <c r="O11" s="353"/>
      <c r="Y11" s="31" t="s">
        <v>61</v>
      </c>
      <c r="AA11" s="71">
        <v>400</v>
      </c>
      <c r="AB11" s="71"/>
      <c r="AC11" s="269">
        <v>7.3</v>
      </c>
      <c r="AE11" s="70">
        <f t="shared" si="1"/>
        <v>2.92</v>
      </c>
    </row>
    <row r="12" spans="2:31" ht="14.25" customHeight="1" x14ac:dyDescent="0.3">
      <c r="B12" s="68">
        <v>9</v>
      </c>
      <c r="C12" s="68">
        <v>1620</v>
      </c>
      <c r="D12" s="69">
        <v>1.62</v>
      </c>
      <c r="E12" s="69">
        <f t="shared" si="0"/>
        <v>7.0434782608695654</v>
      </c>
      <c r="F12" s="68">
        <v>9</v>
      </c>
      <c r="H12" s="261"/>
      <c r="I12" s="259"/>
      <c r="J12" s="259"/>
      <c r="K12" s="265"/>
      <c r="L12" s="6"/>
      <c r="M12" s="12"/>
      <c r="N12" s="6"/>
      <c r="O12" s="13"/>
      <c r="Y12" s="31" t="s">
        <v>62</v>
      </c>
      <c r="AA12" s="71">
        <v>125</v>
      </c>
      <c r="AB12" s="71"/>
      <c r="AC12" s="269">
        <v>235</v>
      </c>
      <c r="AE12" s="70">
        <f t="shared" si="1"/>
        <v>29.375</v>
      </c>
    </row>
    <row r="13" spans="2:31" ht="14.25" customHeight="1" x14ac:dyDescent="0.3">
      <c r="B13" s="6">
        <v>10</v>
      </c>
      <c r="C13" s="6">
        <v>1800</v>
      </c>
      <c r="D13" s="18">
        <v>1.8</v>
      </c>
      <c r="E13" s="18">
        <f t="shared" si="0"/>
        <v>7.8260869565217392</v>
      </c>
      <c r="F13" s="6">
        <v>10</v>
      </c>
      <c r="H13" s="261"/>
      <c r="I13" s="259"/>
      <c r="J13" s="259"/>
      <c r="K13" s="265"/>
      <c r="L13" s="6"/>
      <c r="M13" s="12" t="s">
        <v>4</v>
      </c>
      <c r="N13" s="6"/>
      <c r="O13" s="13" t="s">
        <v>47</v>
      </c>
      <c r="Y13" s="31" t="s">
        <v>63</v>
      </c>
      <c r="Z13" s="6"/>
      <c r="AA13" s="74">
        <v>20</v>
      </c>
      <c r="AB13" s="6"/>
      <c r="AC13" s="270">
        <v>103</v>
      </c>
      <c r="AD13" s="6"/>
      <c r="AE13" s="70">
        <f t="shared" si="1"/>
        <v>2.06</v>
      </c>
    </row>
    <row r="14" spans="2:31" ht="14.25" customHeight="1" x14ac:dyDescent="0.3">
      <c r="B14" s="68">
        <v>11</v>
      </c>
      <c r="C14" s="68">
        <v>1980</v>
      </c>
      <c r="D14" s="69">
        <v>1.98</v>
      </c>
      <c r="E14" s="69">
        <f t="shared" si="0"/>
        <v>8.6086956521739122</v>
      </c>
      <c r="F14" s="68">
        <v>11</v>
      </c>
      <c r="H14" s="261"/>
      <c r="I14" s="259"/>
      <c r="J14" s="259"/>
      <c r="K14" s="265"/>
      <c r="L14" s="6"/>
      <c r="M14" s="12"/>
      <c r="N14" s="6"/>
      <c r="O14" s="13"/>
      <c r="Y14" s="31" t="s">
        <v>64</v>
      </c>
      <c r="AA14" s="71">
        <v>15</v>
      </c>
      <c r="AB14" s="71"/>
      <c r="AC14" s="269">
        <v>939.41</v>
      </c>
      <c r="AE14" s="70">
        <f t="shared" si="1"/>
        <v>14.091149999999999</v>
      </c>
    </row>
    <row r="15" spans="2:31" ht="14.25" customHeight="1" x14ac:dyDescent="0.3">
      <c r="B15" s="6">
        <v>12</v>
      </c>
      <c r="C15" s="6">
        <v>2160</v>
      </c>
      <c r="D15" s="18">
        <v>2.16</v>
      </c>
      <c r="E15" s="18">
        <f t="shared" si="0"/>
        <v>9.3913043478260878</v>
      </c>
      <c r="F15" s="6">
        <v>12</v>
      </c>
      <c r="H15" s="261"/>
      <c r="I15" s="259"/>
      <c r="J15" s="259"/>
      <c r="K15" s="265"/>
      <c r="L15" s="6"/>
      <c r="M15" s="261">
        <v>2.66</v>
      </c>
      <c r="N15" s="6"/>
      <c r="O15" s="19">
        <f>M15/0.746</f>
        <v>3.5656836461126007</v>
      </c>
      <c r="P15" s="75"/>
      <c r="Y15" s="31" t="s">
        <v>65</v>
      </c>
      <c r="AA15" s="71">
        <v>15</v>
      </c>
      <c r="AB15" s="71"/>
      <c r="AC15" s="269">
        <v>39.81</v>
      </c>
      <c r="AE15" s="70">
        <f t="shared" si="1"/>
        <v>0.59715000000000007</v>
      </c>
    </row>
    <row r="16" spans="2:31" ht="14.25" customHeight="1" x14ac:dyDescent="0.3">
      <c r="C16" s="6"/>
      <c r="D16" s="6"/>
      <c r="E16" s="6"/>
      <c r="H16" s="261"/>
      <c r="I16" s="259"/>
      <c r="J16" s="259"/>
      <c r="K16" s="265"/>
      <c r="L16" s="6"/>
      <c r="M16" s="52"/>
      <c r="N16" s="40"/>
      <c r="O16" s="41"/>
      <c r="Y16" s="31" t="s">
        <v>66</v>
      </c>
      <c r="AA16" s="71">
        <v>75</v>
      </c>
      <c r="AB16" s="71"/>
      <c r="AC16" s="269">
        <v>5.49</v>
      </c>
      <c r="AE16" s="70">
        <f t="shared" si="1"/>
        <v>0.41175</v>
      </c>
    </row>
    <row r="17" spans="3:31" ht="14.25" customHeight="1" x14ac:dyDescent="0.3">
      <c r="C17" s="6"/>
      <c r="D17" s="6"/>
      <c r="E17" s="6"/>
      <c r="H17" s="261"/>
      <c r="I17" s="259"/>
      <c r="J17" s="259"/>
      <c r="K17" s="265"/>
      <c r="L17" s="6"/>
      <c r="Y17" s="31" t="s">
        <v>67</v>
      </c>
      <c r="AA17" s="71">
        <v>75</v>
      </c>
      <c r="AB17" s="71"/>
      <c r="AC17" s="269">
        <v>111.58</v>
      </c>
      <c r="AE17" s="70">
        <f t="shared" si="1"/>
        <v>8.3684999999999992</v>
      </c>
    </row>
    <row r="18" spans="3:31" ht="14.25" customHeight="1" x14ac:dyDescent="0.3">
      <c r="C18" s="6"/>
      <c r="D18" s="6"/>
      <c r="E18" s="6"/>
      <c r="H18" s="261"/>
      <c r="I18" s="259"/>
      <c r="J18" s="259"/>
      <c r="K18" s="265"/>
      <c r="L18" s="6"/>
      <c r="Y18" s="31" t="s">
        <v>68</v>
      </c>
      <c r="AA18" s="71">
        <v>100</v>
      </c>
      <c r="AB18" s="71"/>
      <c r="AC18" s="269"/>
      <c r="AE18" s="70">
        <f t="shared" si="1"/>
        <v>0</v>
      </c>
    </row>
    <row r="19" spans="3:31" ht="14.25" customHeight="1" x14ac:dyDescent="0.3">
      <c r="C19" s="6"/>
      <c r="D19" s="6"/>
      <c r="E19" s="6"/>
      <c r="H19" s="261"/>
      <c r="I19" s="259"/>
      <c r="J19" s="259"/>
      <c r="K19" s="265"/>
      <c r="L19" s="6"/>
      <c r="M19" s="362" t="s">
        <v>69</v>
      </c>
      <c r="N19" s="363"/>
      <c r="O19" s="353"/>
      <c r="Q19" s="362" t="s">
        <v>70</v>
      </c>
      <c r="R19" s="363"/>
      <c r="S19" s="353"/>
      <c r="Y19" s="31" t="s">
        <v>71</v>
      </c>
      <c r="AA19" s="71">
        <v>250</v>
      </c>
      <c r="AB19" s="71"/>
      <c r="AC19" s="269">
        <v>119.36</v>
      </c>
      <c r="AE19" s="70">
        <f t="shared" si="1"/>
        <v>29.84</v>
      </c>
    </row>
    <row r="20" spans="3:31" ht="14.25" customHeight="1" x14ac:dyDescent="0.3">
      <c r="C20" s="6"/>
      <c r="D20" s="6"/>
      <c r="E20" s="6"/>
      <c r="H20" s="261"/>
      <c r="I20" s="259"/>
      <c r="J20" s="259"/>
      <c r="K20" s="265"/>
      <c r="L20" s="6"/>
      <c r="M20" s="12"/>
      <c r="N20" s="6"/>
      <c r="O20" s="13"/>
      <c r="Q20" s="76"/>
      <c r="R20" s="77"/>
      <c r="S20" s="78"/>
      <c r="Y20" s="31"/>
      <c r="AE20" s="70"/>
    </row>
    <row r="21" spans="3:31" ht="14.25" customHeight="1" x14ac:dyDescent="0.3">
      <c r="C21" s="6"/>
      <c r="D21" s="6"/>
      <c r="E21" s="6"/>
      <c r="H21" s="261"/>
      <c r="I21" s="259"/>
      <c r="J21" s="259"/>
      <c r="K21" s="265"/>
      <c r="L21" s="6"/>
      <c r="M21" s="12" t="s">
        <v>72</v>
      </c>
      <c r="N21" s="6"/>
      <c r="O21" s="13" t="s">
        <v>73</v>
      </c>
      <c r="Q21" s="76" t="s">
        <v>74</v>
      </c>
      <c r="R21" s="77"/>
      <c r="S21" s="78" t="s">
        <v>75</v>
      </c>
      <c r="Y21" s="31"/>
      <c r="AE21" s="70"/>
    </row>
    <row r="22" spans="3:31" ht="14.25" customHeight="1" x14ac:dyDescent="0.3">
      <c r="C22" s="6"/>
      <c r="D22" s="6"/>
      <c r="E22" s="6"/>
      <c r="H22" s="261"/>
      <c r="I22" s="259"/>
      <c r="J22" s="259"/>
      <c r="K22" s="265"/>
      <c r="L22" s="6"/>
      <c r="M22" s="12"/>
      <c r="N22" s="6"/>
      <c r="O22" s="13"/>
      <c r="Q22" s="76"/>
      <c r="R22" s="77"/>
      <c r="S22" s="78"/>
      <c r="Y22" s="31"/>
      <c r="AE22" s="70"/>
    </row>
    <row r="23" spans="3:31" ht="14.25" customHeight="1" x14ac:dyDescent="0.3">
      <c r="C23" s="6"/>
      <c r="D23" s="6"/>
      <c r="E23" s="6"/>
      <c r="H23" s="261"/>
      <c r="I23" s="259"/>
      <c r="J23" s="259"/>
      <c r="K23" s="265"/>
      <c r="L23" s="6"/>
      <c r="M23" s="252">
        <v>0.5</v>
      </c>
      <c r="N23" s="6"/>
      <c r="O23" s="13">
        <f>M23*25.4</f>
        <v>12.7</v>
      </c>
      <c r="Q23" s="268">
        <v>0.5</v>
      </c>
      <c r="R23" s="77"/>
      <c r="S23" s="79">
        <f>Q23/3.281</f>
        <v>0.15239256324291373</v>
      </c>
      <c r="Y23" s="31"/>
      <c r="AE23" s="70"/>
    </row>
    <row r="24" spans="3:31" ht="14.25" customHeight="1" x14ac:dyDescent="0.3">
      <c r="C24" s="6"/>
      <c r="D24" s="6"/>
      <c r="E24" s="6"/>
      <c r="H24" s="261"/>
      <c r="I24" s="259"/>
      <c r="J24" s="259"/>
      <c r="K24" s="265"/>
      <c r="L24" s="6"/>
      <c r="M24" s="52"/>
      <c r="N24" s="40"/>
      <c r="O24" s="41"/>
      <c r="Q24" s="80"/>
      <c r="R24" s="81"/>
      <c r="S24" s="82"/>
      <c r="Y24" s="31"/>
      <c r="AE24" s="70"/>
    </row>
    <row r="25" spans="3:31" ht="14.25" customHeight="1" x14ac:dyDescent="0.3">
      <c r="C25" s="6"/>
      <c r="D25" s="6"/>
      <c r="E25" s="6"/>
      <c r="H25" s="261"/>
      <c r="I25" s="259"/>
      <c r="J25" s="259"/>
      <c r="K25" s="265"/>
      <c r="L25" s="6"/>
      <c r="Y25" s="31" t="s">
        <v>76</v>
      </c>
      <c r="AA25">
        <v>2</v>
      </c>
      <c r="AC25" s="269"/>
      <c r="AE25" s="70">
        <f t="shared" ref="AE25:AE29" si="2">AA25*AC25/1000</f>
        <v>0</v>
      </c>
    </row>
    <row r="26" spans="3:31" ht="14.25" customHeight="1" x14ac:dyDescent="0.3">
      <c r="C26" s="6"/>
      <c r="D26" s="6"/>
      <c r="E26" s="6"/>
      <c r="H26" s="261"/>
      <c r="I26" s="259"/>
      <c r="J26" s="259"/>
      <c r="K26" s="265"/>
      <c r="L26" s="6"/>
      <c r="Y26" s="31" t="s">
        <v>77</v>
      </c>
      <c r="AA26">
        <v>3</v>
      </c>
      <c r="AC26" s="269"/>
      <c r="AE26" s="70">
        <f t="shared" si="2"/>
        <v>0</v>
      </c>
    </row>
    <row r="27" spans="3:31" ht="14.25" customHeight="1" x14ac:dyDescent="0.3">
      <c r="C27" s="6"/>
      <c r="D27" s="6"/>
      <c r="E27" s="6"/>
      <c r="H27" s="261"/>
      <c r="I27" s="259"/>
      <c r="J27" s="259"/>
      <c r="K27" s="265"/>
      <c r="L27" s="6"/>
      <c r="M27" s="362" t="s">
        <v>78</v>
      </c>
      <c r="N27" s="363"/>
      <c r="O27" s="353"/>
      <c r="Q27" s="362" t="s">
        <v>79</v>
      </c>
      <c r="R27" s="363"/>
      <c r="S27" s="353"/>
      <c r="Y27" s="31" t="s">
        <v>80</v>
      </c>
      <c r="AA27">
        <v>4</v>
      </c>
      <c r="AC27" s="269"/>
      <c r="AE27" s="70">
        <f t="shared" si="2"/>
        <v>0</v>
      </c>
    </row>
    <row r="28" spans="3:31" ht="14.25" customHeight="1" x14ac:dyDescent="0.3">
      <c r="C28" s="6"/>
      <c r="D28" s="6"/>
      <c r="E28" s="6"/>
      <c r="H28" s="261"/>
      <c r="I28" s="259"/>
      <c r="J28" s="259"/>
      <c r="K28" s="265"/>
      <c r="L28" s="6"/>
      <c r="M28" s="12"/>
      <c r="N28" s="6"/>
      <c r="O28" s="13"/>
      <c r="Q28" s="76"/>
      <c r="R28" s="77"/>
      <c r="S28" s="78"/>
      <c r="Y28" s="31" t="s">
        <v>81</v>
      </c>
      <c r="AA28">
        <v>5</v>
      </c>
      <c r="AC28" s="269"/>
      <c r="AE28" s="70">
        <f t="shared" si="2"/>
        <v>0</v>
      </c>
    </row>
    <row r="29" spans="3:31" ht="14.25" customHeight="1" x14ac:dyDescent="0.3">
      <c r="C29" s="6"/>
      <c r="D29" s="6"/>
      <c r="E29" s="6"/>
      <c r="H29" s="266"/>
      <c r="I29" s="260"/>
      <c r="J29" s="260"/>
      <c r="K29" s="267"/>
      <c r="L29" s="6"/>
      <c r="M29" s="12" t="s">
        <v>73</v>
      </c>
      <c r="N29" s="6"/>
      <c r="O29" s="13" t="s">
        <v>72</v>
      </c>
      <c r="Q29" s="76" t="s">
        <v>75</v>
      </c>
      <c r="R29" s="77"/>
      <c r="S29" s="78" t="s">
        <v>74</v>
      </c>
      <c r="Y29" s="39" t="s">
        <v>82</v>
      </c>
      <c r="Z29" s="62"/>
      <c r="AA29" s="62">
        <v>6</v>
      </c>
      <c r="AB29" s="62"/>
      <c r="AC29" s="271"/>
      <c r="AD29" s="62"/>
      <c r="AE29" s="73">
        <f t="shared" si="2"/>
        <v>0</v>
      </c>
    </row>
    <row r="30" spans="3:31" ht="14.25" customHeight="1" x14ac:dyDescent="0.3">
      <c r="C30" s="6"/>
      <c r="D30" s="6"/>
      <c r="E30" s="6"/>
      <c r="L30" s="6"/>
      <c r="M30" s="12"/>
      <c r="N30" s="6"/>
      <c r="O30" s="13"/>
      <c r="Q30" s="76"/>
      <c r="R30" s="77"/>
      <c r="S30" s="78"/>
    </row>
    <row r="31" spans="3:31" ht="14.25" customHeight="1" x14ac:dyDescent="0.3">
      <c r="C31" s="6"/>
      <c r="D31" s="6"/>
      <c r="E31" s="6"/>
      <c r="L31" s="6"/>
      <c r="M31" s="261">
        <v>25</v>
      </c>
      <c r="N31" s="6"/>
      <c r="O31" s="83">
        <f>M31/25.4</f>
        <v>0.98425196850393704</v>
      </c>
      <c r="Q31" s="268">
        <v>38</v>
      </c>
      <c r="R31" s="77"/>
      <c r="S31" s="84">
        <f>Q31*3.281</f>
        <v>124.67800000000001</v>
      </c>
    </row>
    <row r="32" spans="3:31" ht="14.25" customHeight="1" x14ac:dyDescent="0.3">
      <c r="C32" s="6"/>
      <c r="D32" s="6"/>
      <c r="E32" s="6"/>
      <c r="L32" s="6"/>
      <c r="M32" s="52"/>
      <c r="N32" s="40"/>
      <c r="O32" s="41"/>
      <c r="Q32" s="80"/>
      <c r="R32" s="81"/>
      <c r="S32" s="82"/>
    </row>
    <row r="33" spans="2:33" ht="14.25" customHeight="1" x14ac:dyDescent="0.3">
      <c r="C33" s="6"/>
      <c r="D33" s="6"/>
      <c r="E33" s="6"/>
      <c r="L33" s="6"/>
      <c r="M33" s="6"/>
      <c r="N33" s="6"/>
      <c r="O33" s="6"/>
    </row>
    <row r="34" spans="2:33" ht="14.25" customHeight="1" x14ac:dyDescent="0.3">
      <c r="C34" s="6"/>
      <c r="D34" s="6"/>
      <c r="E34" s="6"/>
      <c r="L34" s="6"/>
      <c r="M34" s="6"/>
      <c r="N34" s="6"/>
      <c r="O34" s="6"/>
    </row>
    <row r="35" spans="2:33" ht="14.25" customHeight="1" x14ac:dyDescent="0.3">
      <c r="C35" s="6"/>
      <c r="D35" s="6"/>
      <c r="E35" s="6"/>
      <c r="L35" s="6"/>
      <c r="M35" s="6"/>
      <c r="N35" s="6"/>
      <c r="O35" s="6"/>
    </row>
    <row r="36" spans="2:33" ht="14.25" customHeight="1" x14ac:dyDescent="0.3">
      <c r="C36" s="6"/>
      <c r="D36" s="6"/>
      <c r="E36" s="6"/>
      <c r="L36" s="6"/>
      <c r="M36" s="6"/>
      <c r="N36" s="6"/>
      <c r="O36" s="6"/>
    </row>
    <row r="37" spans="2:33" ht="14.25" customHeight="1" x14ac:dyDescent="0.3">
      <c r="C37" s="6"/>
      <c r="D37" s="6"/>
      <c r="E37" s="6"/>
      <c r="L37" s="6"/>
      <c r="M37" s="6"/>
      <c r="N37" s="6"/>
      <c r="O37" s="6"/>
    </row>
    <row r="38" spans="2:33" ht="14.25" customHeight="1" thickBot="1" x14ac:dyDescent="0.35">
      <c r="B38" s="32" t="s">
        <v>31</v>
      </c>
      <c r="C38" s="15" t="s">
        <v>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85"/>
      <c r="V38" s="85"/>
      <c r="W38" s="86"/>
      <c r="Y38" s="65" t="s">
        <v>83</v>
      </c>
      <c r="Z38" s="66"/>
      <c r="AA38" s="66"/>
      <c r="AB38" s="66"/>
      <c r="AC38" s="66"/>
      <c r="AD38" s="67"/>
      <c r="AF38" s="6"/>
    </row>
    <row r="39" spans="2:33" ht="14.25" customHeight="1" x14ac:dyDescent="0.3">
      <c r="B39" s="31"/>
      <c r="C39" s="6"/>
      <c r="D39" s="87" t="s">
        <v>84</v>
      </c>
      <c r="E39" s="87" t="s">
        <v>85</v>
      </c>
      <c r="F39" s="88" t="s">
        <v>86</v>
      </c>
      <c r="G39" s="88" t="s">
        <v>87</v>
      </c>
      <c r="H39" s="88" t="s">
        <v>88</v>
      </c>
      <c r="I39" s="88" t="s">
        <v>89</v>
      </c>
      <c r="J39" s="88" t="s">
        <v>90</v>
      </c>
      <c r="K39" s="88" t="s">
        <v>91</v>
      </c>
      <c r="L39" s="87" t="s">
        <v>92</v>
      </c>
      <c r="M39" s="6"/>
      <c r="N39" s="6"/>
      <c r="O39" s="6"/>
      <c r="W39" s="70"/>
      <c r="Y39" s="12" t="s">
        <v>48</v>
      </c>
      <c r="Z39" s="6" t="s">
        <v>49</v>
      </c>
      <c r="AA39" s="6" t="s">
        <v>50</v>
      </c>
      <c r="AB39" s="6" t="s">
        <v>51</v>
      </c>
      <c r="AC39" s="6" t="s">
        <v>52</v>
      </c>
      <c r="AD39" s="13" t="s">
        <v>53</v>
      </c>
      <c r="AF39" s="250" t="s">
        <v>555</v>
      </c>
      <c r="AG39" s="250" t="s">
        <v>556</v>
      </c>
    </row>
    <row r="40" spans="2:33" ht="14.25" customHeight="1" x14ac:dyDescent="0.3">
      <c r="B40" s="12" t="s">
        <v>47</v>
      </c>
      <c r="C40" s="6"/>
      <c r="D40" s="18">
        <v>0.1</v>
      </c>
      <c r="E40" s="18">
        <v>0.125</v>
      </c>
      <c r="F40" s="18">
        <v>0.16666666666666666</v>
      </c>
      <c r="G40" s="18">
        <v>0.25</v>
      </c>
      <c r="H40" s="18">
        <v>0.33333333333333331</v>
      </c>
      <c r="I40" s="18">
        <v>0.5</v>
      </c>
      <c r="J40" s="18">
        <v>0.75</v>
      </c>
      <c r="K40" s="18">
        <v>1</v>
      </c>
      <c r="L40" s="18">
        <v>1.5</v>
      </c>
      <c r="M40" s="18">
        <v>2</v>
      </c>
      <c r="N40" s="18">
        <v>3</v>
      </c>
      <c r="O40" s="18">
        <v>5</v>
      </c>
      <c r="P40" s="18">
        <v>7.5</v>
      </c>
      <c r="Q40" s="18">
        <v>10</v>
      </c>
      <c r="R40" s="18">
        <v>15</v>
      </c>
      <c r="S40" s="18">
        <v>20</v>
      </c>
      <c r="T40" s="18">
        <v>25</v>
      </c>
      <c r="U40" s="18">
        <v>30</v>
      </c>
      <c r="V40" s="18">
        <v>40</v>
      </c>
      <c r="W40" s="19">
        <v>50</v>
      </c>
      <c r="Y40" s="31"/>
      <c r="AD40" s="70"/>
      <c r="AF40" s="20"/>
      <c r="AG40" s="20"/>
    </row>
    <row r="41" spans="2:33" ht="14.25" customHeight="1" thickBot="1" x14ac:dyDescent="0.35">
      <c r="B41" s="52" t="s">
        <v>1</v>
      </c>
      <c r="C41" s="40"/>
      <c r="D41" s="36">
        <v>1.5</v>
      </c>
      <c r="E41" s="36">
        <v>1.9</v>
      </c>
      <c r="F41" s="36">
        <v>2.2000000000000002</v>
      </c>
      <c r="G41" s="36">
        <v>2.9</v>
      </c>
      <c r="H41" s="36">
        <v>3.6</v>
      </c>
      <c r="I41" s="36">
        <v>4.9000000000000004</v>
      </c>
      <c r="J41" s="36">
        <v>6.9</v>
      </c>
      <c r="K41" s="36">
        <v>8</v>
      </c>
      <c r="L41" s="40">
        <v>10</v>
      </c>
      <c r="M41" s="40">
        <v>12</v>
      </c>
      <c r="N41" s="40">
        <v>17</v>
      </c>
      <c r="O41" s="40">
        <v>28</v>
      </c>
      <c r="P41" s="40">
        <v>40</v>
      </c>
      <c r="Q41" s="40">
        <v>50</v>
      </c>
      <c r="R41" s="40">
        <v>68</v>
      </c>
      <c r="S41" s="40">
        <v>88</v>
      </c>
      <c r="T41" s="40">
        <v>110</v>
      </c>
      <c r="U41" s="40">
        <v>136</v>
      </c>
      <c r="V41" s="40">
        <v>176</v>
      </c>
      <c r="W41" s="41">
        <v>216</v>
      </c>
      <c r="Y41" s="272">
        <v>3.5</v>
      </c>
      <c r="Z41" s="40">
        <f t="array" ref="Z41">MAX(IF(D40:W40&lt;Y41, D40:W40))</f>
        <v>3</v>
      </c>
      <c r="AA41" s="36">
        <f>HLOOKUP(Z41,D40:W41,2, FALSE)</f>
        <v>17</v>
      </c>
      <c r="AB41" s="40">
        <f t="array" ref="AB41">MIN(IF(D40:W40&gt;Y41, D40:W40))</f>
        <v>5</v>
      </c>
      <c r="AC41" s="40">
        <f>HLOOKUP(AB41,D40:W41,2, FALSE)</f>
        <v>28</v>
      </c>
      <c r="AD41" s="44">
        <f>AA41+(((Y41-Z41)*(AC41-AA41))/(AB41-Z41))</f>
        <v>19.75</v>
      </c>
      <c r="AF41" s="61">
        <f>AD41*2.25</f>
        <v>44.4375</v>
      </c>
      <c r="AG41" s="251">
        <f>AD41*2.5</f>
        <v>49.375</v>
      </c>
    </row>
    <row r="42" spans="2:33" ht="14.25" customHeight="1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Y42" s="6"/>
      <c r="Z42" s="6"/>
      <c r="AA42" s="6"/>
      <c r="AB42" s="6"/>
      <c r="AC42" s="6"/>
      <c r="AD42" s="18"/>
      <c r="AF42" s="6"/>
    </row>
    <row r="43" spans="2:33" ht="14.25" customHeight="1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AF43" s="6"/>
    </row>
    <row r="44" spans="2:33" ht="14.25" customHeight="1" x14ac:dyDescent="0.3">
      <c r="B44" s="32" t="s">
        <v>31</v>
      </c>
      <c r="C44" s="15" t="s">
        <v>93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85"/>
      <c r="V44" s="85"/>
      <c r="W44" s="86"/>
      <c r="Y44" s="65" t="s">
        <v>94</v>
      </c>
      <c r="Z44" s="66"/>
      <c r="AA44" s="66"/>
      <c r="AB44" s="66"/>
      <c r="AC44" s="66"/>
      <c r="AD44" s="67"/>
      <c r="AF44" s="6"/>
    </row>
    <row r="45" spans="2:33" ht="14.25" customHeight="1" x14ac:dyDescent="0.3">
      <c r="B45" s="12" t="s">
        <v>47</v>
      </c>
      <c r="C45" s="6"/>
      <c r="D45" s="90">
        <v>0.5</v>
      </c>
      <c r="E45" s="91">
        <v>1</v>
      </c>
      <c r="F45" s="92">
        <v>1.5</v>
      </c>
      <c r="G45" s="91">
        <v>2</v>
      </c>
      <c r="H45" s="91">
        <v>3</v>
      </c>
      <c r="I45" s="91">
        <v>5</v>
      </c>
      <c r="J45" s="92">
        <v>7.5</v>
      </c>
      <c r="K45" s="91">
        <v>10</v>
      </c>
      <c r="L45" s="91">
        <v>15</v>
      </c>
      <c r="M45" s="91">
        <v>20</v>
      </c>
      <c r="N45" s="91">
        <v>25</v>
      </c>
      <c r="O45" s="91">
        <v>30</v>
      </c>
      <c r="P45" s="91">
        <v>40</v>
      </c>
      <c r="Q45" s="91">
        <v>50</v>
      </c>
      <c r="R45" s="91">
        <v>60</v>
      </c>
      <c r="S45" s="91">
        <v>75</v>
      </c>
      <c r="T45" s="91">
        <v>100</v>
      </c>
      <c r="U45" s="91">
        <v>125</v>
      </c>
      <c r="V45" s="91">
        <v>150</v>
      </c>
      <c r="W45" s="93">
        <v>200</v>
      </c>
      <c r="Y45" s="12" t="s">
        <v>48</v>
      </c>
      <c r="Z45" s="6" t="s">
        <v>49</v>
      </c>
      <c r="AA45" s="6" t="s">
        <v>50</v>
      </c>
      <c r="AB45" s="6" t="s">
        <v>51</v>
      </c>
      <c r="AC45" s="6" t="s">
        <v>52</v>
      </c>
      <c r="AD45" s="13" t="s">
        <v>53</v>
      </c>
      <c r="AF45" s="14" t="s">
        <v>23</v>
      </c>
    </row>
    <row r="46" spans="2:33" ht="14.25" customHeight="1" x14ac:dyDescent="0.3">
      <c r="B46" s="12" t="s">
        <v>1</v>
      </c>
      <c r="C46" s="6"/>
      <c r="D46" s="18">
        <v>2.2000000000000002</v>
      </c>
      <c r="E46" s="18">
        <v>4.2</v>
      </c>
      <c r="F46" s="18">
        <v>6</v>
      </c>
      <c r="G46" s="18">
        <v>6.8</v>
      </c>
      <c r="H46" s="18">
        <v>9.6</v>
      </c>
      <c r="I46" s="18">
        <v>15.2</v>
      </c>
      <c r="J46" s="92">
        <v>22</v>
      </c>
      <c r="K46" s="92">
        <v>28</v>
      </c>
      <c r="L46" s="92">
        <v>42</v>
      </c>
      <c r="M46" s="92">
        <v>54</v>
      </c>
      <c r="N46" s="92">
        <v>68</v>
      </c>
      <c r="O46" s="92">
        <v>80</v>
      </c>
      <c r="P46" s="92">
        <v>104</v>
      </c>
      <c r="Q46" s="92">
        <v>130</v>
      </c>
      <c r="R46" s="92">
        <v>154</v>
      </c>
      <c r="S46" s="92">
        <v>192</v>
      </c>
      <c r="T46" s="92">
        <v>248</v>
      </c>
      <c r="U46" s="92">
        <v>312</v>
      </c>
      <c r="V46" s="92">
        <v>360</v>
      </c>
      <c r="W46" s="94">
        <v>480</v>
      </c>
      <c r="Y46" s="31"/>
      <c r="AD46" s="70"/>
      <c r="AF46" s="20"/>
    </row>
    <row r="47" spans="2:33" ht="14.25" customHeight="1" x14ac:dyDescent="0.3">
      <c r="B47" s="52" t="s">
        <v>23</v>
      </c>
      <c r="C47" s="40"/>
      <c r="D47" s="40">
        <v>15</v>
      </c>
      <c r="E47" s="40">
        <v>15</v>
      </c>
      <c r="F47" s="40">
        <v>15</v>
      </c>
      <c r="G47" s="40">
        <v>20</v>
      </c>
      <c r="H47" s="40">
        <v>20</v>
      </c>
      <c r="I47" s="40">
        <v>30</v>
      </c>
      <c r="J47" s="40">
        <v>50</v>
      </c>
      <c r="K47" s="40">
        <v>60</v>
      </c>
      <c r="L47" s="40">
        <v>100</v>
      </c>
      <c r="M47" s="40">
        <v>100</v>
      </c>
      <c r="N47" s="40">
        <v>100</v>
      </c>
      <c r="O47" s="40">
        <v>125</v>
      </c>
      <c r="P47" s="40">
        <v>150</v>
      </c>
      <c r="Q47" s="40">
        <v>200</v>
      </c>
      <c r="R47" s="40">
        <v>225</v>
      </c>
      <c r="S47" s="40">
        <v>250</v>
      </c>
      <c r="T47" s="40">
        <v>350</v>
      </c>
      <c r="U47" s="40">
        <v>500</v>
      </c>
      <c r="V47" s="40">
        <v>600</v>
      </c>
      <c r="W47" s="41">
        <v>800</v>
      </c>
      <c r="Y47" s="272">
        <v>0.75</v>
      </c>
      <c r="Z47" s="40">
        <f t="array" ref="Z47">MAX(IF(D45:W45&lt;Y47,D45:W45))</f>
        <v>0.5</v>
      </c>
      <c r="AA47" s="36">
        <f>HLOOKUP(Z47,D45:W46,2, FALSE)</f>
        <v>2.2000000000000002</v>
      </c>
      <c r="AB47" s="40">
        <f t="array" ref="AB47">MIN(IF(D45:W45&gt;Y47,D45:W45))</f>
        <v>1</v>
      </c>
      <c r="AC47" s="36">
        <f>HLOOKUP(AB47,D45:W46,2, FALSE)</f>
        <v>4.2</v>
      </c>
      <c r="AD47" s="44">
        <f>AA47+(((Y47-Z47)*(AC47-AA47))/(AB47-Z47))</f>
        <v>3.2</v>
      </c>
      <c r="AF47" s="61">
        <f>HLOOKUP(AC47, D46:U47, 2, FALSE)</f>
        <v>15</v>
      </c>
    </row>
    <row r="48" spans="2:33" ht="14.2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AF48" s="6"/>
    </row>
    <row r="49" spans="2:32" ht="14.25" customHeight="1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AF49" s="6"/>
    </row>
    <row r="50" spans="2:32" ht="14.25" customHeight="1" x14ac:dyDescent="0.3">
      <c r="B50" s="32" t="s">
        <v>0</v>
      </c>
      <c r="C50" s="15" t="s">
        <v>93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85"/>
      <c r="V50" s="85"/>
      <c r="W50" s="86"/>
      <c r="Y50" s="65" t="s">
        <v>95</v>
      </c>
      <c r="Z50" s="66"/>
      <c r="AA50" s="66"/>
      <c r="AB50" s="66"/>
      <c r="AC50" s="66"/>
      <c r="AD50" s="67"/>
      <c r="AF50" s="6"/>
    </row>
    <row r="51" spans="2:32" ht="14.25" customHeight="1" x14ac:dyDescent="0.3">
      <c r="B51" s="12" t="s">
        <v>47</v>
      </c>
      <c r="C51" s="6"/>
      <c r="D51" s="90">
        <v>0.5</v>
      </c>
      <c r="E51" s="91">
        <v>1</v>
      </c>
      <c r="F51" s="92">
        <v>1.5</v>
      </c>
      <c r="G51" s="91">
        <v>2</v>
      </c>
      <c r="H51" s="91">
        <v>3</v>
      </c>
      <c r="I51" s="91">
        <v>5</v>
      </c>
      <c r="J51" s="92">
        <v>7.5</v>
      </c>
      <c r="K51" s="91">
        <v>10</v>
      </c>
      <c r="L51" s="91">
        <v>15</v>
      </c>
      <c r="M51" s="91">
        <v>20</v>
      </c>
      <c r="N51" s="91">
        <v>25</v>
      </c>
      <c r="O51" s="91">
        <v>30</v>
      </c>
      <c r="P51" s="91">
        <v>40</v>
      </c>
      <c r="Q51" s="91">
        <v>50</v>
      </c>
      <c r="R51" s="91">
        <v>60</v>
      </c>
      <c r="S51" s="91">
        <v>75</v>
      </c>
      <c r="T51" s="91">
        <v>100</v>
      </c>
      <c r="U51" s="91">
        <v>125</v>
      </c>
      <c r="V51" s="91">
        <v>150</v>
      </c>
      <c r="W51" s="93">
        <v>200</v>
      </c>
      <c r="Y51" s="12" t="s">
        <v>48</v>
      </c>
      <c r="Z51" s="6" t="s">
        <v>49</v>
      </c>
      <c r="AA51" s="6" t="s">
        <v>50</v>
      </c>
      <c r="AB51" s="6" t="s">
        <v>51</v>
      </c>
      <c r="AC51" s="6" t="s">
        <v>52</v>
      </c>
      <c r="AD51" s="13" t="s">
        <v>53</v>
      </c>
      <c r="AF51" s="14" t="s">
        <v>23</v>
      </c>
    </row>
    <row r="52" spans="2:32" ht="14.25" customHeight="1" x14ac:dyDescent="0.3">
      <c r="B52" s="12" t="s">
        <v>1</v>
      </c>
      <c r="C52" s="6"/>
      <c r="D52" s="18">
        <v>1.3</v>
      </c>
      <c r="E52" s="18">
        <v>2.2999999999999998</v>
      </c>
      <c r="F52" s="18">
        <v>3.3</v>
      </c>
      <c r="G52" s="18">
        <v>4.3</v>
      </c>
      <c r="H52" s="18">
        <v>6.1</v>
      </c>
      <c r="I52" s="18">
        <v>9.6999999999999993</v>
      </c>
      <c r="J52" s="92">
        <v>14</v>
      </c>
      <c r="K52" s="92">
        <v>18</v>
      </c>
      <c r="L52" s="92">
        <v>27</v>
      </c>
      <c r="M52" s="92">
        <v>34</v>
      </c>
      <c r="N52" s="92">
        <v>44</v>
      </c>
      <c r="O52" s="92">
        <v>51</v>
      </c>
      <c r="P52" s="92">
        <v>66</v>
      </c>
      <c r="Q52" s="92">
        <v>83</v>
      </c>
      <c r="R52" s="92">
        <v>103</v>
      </c>
      <c r="S52" s="92">
        <v>128</v>
      </c>
      <c r="T52" s="92">
        <v>165</v>
      </c>
      <c r="U52" s="92">
        <v>208</v>
      </c>
      <c r="V52" s="92">
        <v>240</v>
      </c>
      <c r="W52" s="94">
        <v>320</v>
      </c>
      <c r="Y52" s="31"/>
      <c r="AD52" s="70"/>
      <c r="AF52" s="20"/>
    </row>
    <row r="53" spans="2:32" ht="14.25" customHeight="1" x14ac:dyDescent="0.3">
      <c r="B53" s="52" t="s">
        <v>23</v>
      </c>
      <c r="C53" s="40"/>
      <c r="D53" s="40">
        <v>15</v>
      </c>
      <c r="E53" s="40">
        <v>15</v>
      </c>
      <c r="F53" s="40">
        <v>20</v>
      </c>
      <c r="G53" s="40">
        <v>20</v>
      </c>
      <c r="H53" s="40">
        <v>20</v>
      </c>
      <c r="I53" s="40">
        <v>20</v>
      </c>
      <c r="J53" s="40">
        <v>30</v>
      </c>
      <c r="K53" s="40">
        <v>40</v>
      </c>
      <c r="L53" s="40">
        <v>60</v>
      </c>
      <c r="M53" s="40">
        <v>70</v>
      </c>
      <c r="N53" s="40">
        <v>100</v>
      </c>
      <c r="O53" s="40">
        <v>100</v>
      </c>
      <c r="P53" s="40">
        <v>100</v>
      </c>
      <c r="Q53" s="40">
        <v>125</v>
      </c>
      <c r="R53" s="40">
        <v>150</v>
      </c>
      <c r="S53" s="40">
        <v>200</v>
      </c>
      <c r="T53" s="40">
        <v>250</v>
      </c>
      <c r="U53" s="40">
        <v>300</v>
      </c>
      <c r="V53" s="40">
        <v>350</v>
      </c>
      <c r="W53" s="41">
        <v>500</v>
      </c>
      <c r="Y53" s="272">
        <v>68</v>
      </c>
      <c r="Z53" s="40">
        <f t="array" ref="Z53">MAX(IF(D51:W51&lt;Y53,D51:W51))</f>
        <v>60</v>
      </c>
      <c r="AA53" s="95">
        <f>HLOOKUP(Z53,D51:W52,2, FALSE)</f>
        <v>103</v>
      </c>
      <c r="AB53" s="40">
        <f t="array" ref="AB53">MIN(IF(D51:W51&gt;Y53,D51:W51))</f>
        <v>75</v>
      </c>
      <c r="AC53" s="95">
        <f>HLOOKUP(AB53,D51:W52,2, FALSE)</f>
        <v>128</v>
      </c>
      <c r="AD53" s="44">
        <f>AA53+(((Y53-Z53)*(AC53-AA53))/(AB53-Z53))</f>
        <v>116.33333333333333</v>
      </c>
      <c r="AF53" s="61">
        <f>HLOOKUP(AC53, D52:W53, 2,FALSE )</f>
        <v>200</v>
      </c>
    </row>
    <row r="54" spans="2:32" ht="14.25" customHeight="1" x14ac:dyDescent="0.3">
      <c r="H54" s="6"/>
      <c r="I54" s="6"/>
      <c r="J54" s="6"/>
      <c r="K54" s="6"/>
    </row>
    <row r="55" spans="2:32" ht="14.25" customHeight="1" x14ac:dyDescent="0.3">
      <c r="H55" s="6"/>
      <c r="I55" s="6"/>
      <c r="J55" s="6"/>
      <c r="K55" s="6"/>
    </row>
    <row r="56" spans="2:32" ht="14.25" customHeight="1" x14ac:dyDescent="0.3">
      <c r="C56" s="6"/>
      <c r="D56" s="6"/>
      <c r="E56" s="6"/>
      <c r="L56" s="6"/>
    </row>
    <row r="57" spans="2:32" ht="14.25" customHeight="1" x14ac:dyDescent="0.3">
      <c r="B57" s="96" t="s">
        <v>96</v>
      </c>
      <c r="C57" s="4"/>
      <c r="D57" s="4"/>
      <c r="E57" s="4"/>
      <c r="F57" s="4"/>
      <c r="G57" s="4"/>
      <c r="H57" s="4"/>
      <c r="I57" s="4"/>
      <c r="J57" s="4"/>
      <c r="K57" s="4"/>
      <c r="L57" s="97"/>
    </row>
    <row r="58" spans="2:32" ht="14.25" customHeight="1" x14ac:dyDescent="0.3">
      <c r="B58" s="58" t="s">
        <v>97</v>
      </c>
      <c r="C58" s="6">
        <v>15</v>
      </c>
      <c r="D58" s="6">
        <v>20</v>
      </c>
      <c r="E58" s="6">
        <v>25</v>
      </c>
      <c r="F58" s="6">
        <v>32</v>
      </c>
      <c r="G58" s="6">
        <v>50</v>
      </c>
      <c r="H58" s="6">
        <v>65</v>
      </c>
      <c r="I58" s="6">
        <v>80</v>
      </c>
      <c r="J58" s="6">
        <v>90</v>
      </c>
      <c r="K58" s="6">
        <v>100</v>
      </c>
      <c r="L58" s="13">
        <v>110</v>
      </c>
      <c r="N58" s="6"/>
      <c r="O58" s="6"/>
    </row>
    <row r="59" spans="2:32" ht="14.25" customHeight="1" x14ac:dyDescent="0.3">
      <c r="B59" s="98" t="s">
        <v>98</v>
      </c>
      <c r="C59" s="40">
        <v>25</v>
      </c>
      <c r="D59" s="40">
        <v>35</v>
      </c>
      <c r="E59" s="40">
        <v>40</v>
      </c>
      <c r="F59" s="40">
        <v>55</v>
      </c>
      <c r="G59" s="40">
        <v>75</v>
      </c>
      <c r="H59" s="40">
        <v>95</v>
      </c>
      <c r="I59" s="40">
        <v>110</v>
      </c>
      <c r="J59" s="40">
        <v>125</v>
      </c>
      <c r="K59" s="40">
        <v>134</v>
      </c>
      <c r="L59" s="41">
        <v>150</v>
      </c>
      <c r="N59" s="6"/>
      <c r="O59" s="6"/>
    </row>
    <row r="60" spans="2:32" ht="14.25" customHeight="1" x14ac:dyDescent="0.3">
      <c r="C60" s="6"/>
      <c r="D60" s="6"/>
      <c r="E60" s="6"/>
      <c r="L60" s="6"/>
      <c r="N60" s="6"/>
      <c r="O60" s="6"/>
    </row>
    <row r="61" spans="2:32" ht="14.25" customHeight="1" x14ac:dyDescent="0.3">
      <c r="C61" s="6"/>
      <c r="D61" s="6"/>
      <c r="E61" s="6"/>
      <c r="N61" s="6"/>
      <c r="O61" s="6"/>
    </row>
    <row r="62" spans="2:32" ht="14.25" customHeight="1" x14ac:dyDescent="0.3">
      <c r="H62" s="6"/>
      <c r="I62" s="6"/>
      <c r="J62" s="6"/>
      <c r="K62" s="6"/>
    </row>
    <row r="63" spans="2:32" ht="14.25" customHeight="1" x14ac:dyDescent="0.3">
      <c r="B63" s="64" t="s">
        <v>99</v>
      </c>
      <c r="C63" s="85"/>
      <c r="D63" s="85"/>
      <c r="E63" s="85"/>
      <c r="F63" s="85"/>
      <c r="G63" s="85"/>
      <c r="H63" s="15"/>
      <c r="I63" s="16"/>
      <c r="J63" s="6"/>
      <c r="K63" s="64" t="s">
        <v>100</v>
      </c>
      <c r="L63" s="85"/>
      <c r="M63" s="85"/>
      <c r="N63" s="85"/>
      <c r="O63" s="85"/>
      <c r="P63" s="85"/>
      <c r="Q63" s="15"/>
      <c r="R63" s="16"/>
      <c r="T63" s="64" t="s">
        <v>101</v>
      </c>
      <c r="U63" s="85"/>
      <c r="V63" s="86"/>
      <c r="Y63" s="64" t="s">
        <v>102</v>
      </c>
      <c r="Z63" s="85"/>
      <c r="AA63" s="85"/>
      <c r="AB63" s="86"/>
    </row>
    <row r="64" spans="2:32" ht="14.25" customHeight="1" x14ac:dyDescent="0.3">
      <c r="B64" s="31"/>
      <c r="H64" s="6"/>
      <c r="I64" s="13"/>
      <c r="J64" s="6"/>
      <c r="K64" s="31"/>
      <c r="Q64" s="6"/>
      <c r="R64" s="13"/>
      <c r="T64" s="31"/>
      <c r="V64" s="70"/>
      <c r="Y64" s="31"/>
      <c r="AB64" s="70"/>
    </row>
    <row r="65" spans="2:28" ht="14.25" customHeight="1" x14ac:dyDescent="0.3">
      <c r="B65" s="12" t="s">
        <v>103</v>
      </c>
      <c r="C65" s="6" t="s">
        <v>104</v>
      </c>
      <c r="D65" s="6" t="s">
        <v>105</v>
      </c>
      <c r="E65" s="6" t="s">
        <v>106</v>
      </c>
      <c r="F65" s="6" t="s">
        <v>107</v>
      </c>
      <c r="G65" s="6" t="s">
        <v>108</v>
      </c>
      <c r="H65" s="6" t="s">
        <v>109</v>
      </c>
      <c r="I65" s="13" t="s">
        <v>110</v>
      </c>
      <c r="J65" s="6"/>
      <c r="K65" s="12" t="s">
        <v>103</v>
      </c>
      <c r="L65" s="6" t="s">
        <v>104</v>
      </c>
      <c r="M65" s="6" t="s">
        <v>105</v>
      </c>
      <c r="N65" s="6" t="s">
        <v>106</v>
      </c>
      <c r="O65" s="6" t="s">
        <v>107</v>
      </c>
      <c r="P65" s="6" t="s">
        <v>108</v>
      </c>
      <c r="Q65" s="6" t="s">
        <v>109</v>
      </c>
      <c r="R65" s="13" t="s">
        <v>110</v>
      </c>
      <c r="T65" s="12" t="s">
        <v>108</v>
      </c>
      <c r="U65" s="6" t="s">
        <v>109</v>
      </c>
      <c r="V65" s="13" t="s">
        <v>110</v>
      </c>
      <c r="Y65" s="12" t="s">
        <v>111</v>
      </c>
      <c r="Z65" s="6" t="s">
        <v>112</v>
      </c>
      <c r="AA65" s="6" t="s">
        <v>113</v>
      </c>
      <c r="AB65" s="13" t="s">
        <v>114</v>
      </c>
    </row>
    <row r="66" spans="2:28" ht="14.25" customHeight="1" x14ac:dyDescent="0.3">
      <c r="B66" s="12">
        <v>15</v>
      </c>
      <c r="C66" s="6">
        <v>25</v>
      </c>
      <c r="D66" s="273">
        <v>0</v>
      </c>
      <c r="E66">
        <f t="shared" ref="E66:E75" si="3">IF(D66&gt;0, B66, 0)</f>
        <v>0</v>
      </c>
      <c r="F66">
        <f t="shared" ref="F66:F75" si="4">C66*D66</f>
        <v>0</v>
      </c>
      <c r="H66" s="6"/>
      <c r="I66" s="99">
        <f t="shared" ref="I66:I75" si="5">IF(D66&gt;0,C66, 0)</f>
        <v>0</v>
      </c>
      <c r="J66" s="6"/>
      <c r="K66" s="12">
        <v>15</v>
      </c>
      <c r="L66" s="6">
        <v>25</v>
      </c>
      <c r="M66" s="273">
        <v>0</v>
      </c>
      <c r="N66">
        <f t="shared" ref="N66:N74" si="6">IF(M66&gt;0, K66, 0)</f>
        <v>0</v>
      </c>
      <c r="O66">
        <f t="shared" ref="O66:O74" si="7">L66*M66</f>
        <v>0</v>
      </c>
      <c r="Q66" s="6"/>
      <c r="R66" s="70">
        <f t="shared" ref="R66:R74" si="8">IF(M66&gt;0,L66, 0)</f>
        <v>0</v>
      </c>
      <c r="T66" s="31"/>
      <c r="V66" s="70"/>
      <c r="Y66" s="12"/>
      <c r="Z66" s="6"/>
      <c r="AA66" s="6"/>
      <c r="AB66" s="13"/>
    </row>
    <row r="67" spans="2:28" ht="14.25" customHeight="1" x14ac:dyDescent="0.3">
      <c r="B67" s="12">
        <v>20</v>
      </c>
      <c r="C67" s="6">
        <v>35</v>
      </c>
      <c r="D67" s="273">
        <v>0</v>
      </c>
      <c r="E67">
        <f t="shared" si="3"/>
        <v>0</v>
      </c>
      <c r="F67">
        <f t="shared" si="4"/>
        <v>0</v>
      </c>
      <c r="G67" s="6"/>
      <c r="H67" s="6"/>
      <c r="I67" s="99">
        <f t="shared" si="5"/>
        <v>0</v>
      </c>
      <c r="J67" s="6"/>
      <c r="K67" s="12">
        <v>20</v>
      </c>
      <c r="L67" s="6">
        <v>35</v>
      </c>
      <c r="M67" s="273">
        <v>0</v>
      </c>
      <c r="N67">
        <f t="shared" si="6"/>
        <v>0</v>
      </c>
      <c r="O67">
        <f t="shared" si="7"/>
        <v>0</v>
      </c>
      <c r="P67" s="6"/>
      <c r="Q67" s="6"/>
      <c r="R67" s="70">
        <f t="shared" si="8"/>
        <v>0</v>
      </c>
      <c r="T67" s="100">
        <f>MAX(P76,G76)</f>
        <v>0</v>
      </c>
      <c r="U67" s="101">
        <f>MAX(H76,Q76)</f>
        <v>0</v>
      </c>
      <c r="V67" s="102">
        <f>IF(R76=0, I76, I76+R76-200+125)</f>
        <v>0</v>
      </c>
      <c r="Y67" s="276">
        <v>0.25</v>
      </c>
      <c r="Z67" s="277">
        <v>2</v>
      </c>
      <c r="AA67" s="275">
        <v>1</v>
      </c>
      <c r="AB67" s="102">
        <f>Y67*Z67*AA67*1000</f>
        <v>500</v>
      </c>
    </row>
    <row r="68" spans="2:28" ht="14.25" customHeight="1" x14ac:dyDescent="0.3">
      <c r="B68" s="12">
        <v>25</v>
      </c>
      <c r="C68" s="6">
        <v>40</v>
      </c>
      <c r="D68" s="273">
        <v>0</v>
      </c>
      <c r="E68">
        <f t="shared" si="3"/>
        <v>0</v>
      </c>
      <c r="F68">
        <f t="shared" si="4"/>
        <v>0</v>
      </c>
      <c r="G68" s="6"/>
      <c r="H68" s="6"/>
      <c r="I68" s="99">
        <f t="shared" si="5"/>
        <v>0</v>
      </c>
      <c r="J68" s="6"/>
      <c r="K68" s="12">
        <v>25</v>
      </c>
      <c r="L68" s="6">
        <v>40</v>
      </c>
      <c r="M68" s="273">
        <v>0</v>
      </c>
      <c r="N68">
        <f t="shared" si="6"/>
        <v>0</v>
      </c>
      <c r="O68">
        <f t="shared" si="7"/>
        <v>0</v>
      </c>
      <c r="P68" s="6"/>
      <c r="Q68" s="6"/>
      <c r="R68" s="70">
        <f t="shared" si="8"/>
        <v>0</v>
      </c>
      <c r="Y68" s="6"/>
      <c r="Z68" s="6"/>
      <c r="AA68" s="6"/>
      <c r="AB68" s="6"/>
    </row>
    <row r="69" spans="2:28" ht="14.25" customHeight="1" x14ac:dyDescent="0.3">
      <c r="B69" s="12">
        <v>32</v>
      </c>
      <c r="C69" s="6">
        <v>55</v>
      </c>
      <c r="D69" s="273">
        <v>0</v>
      </c>
      <c r="E69">
        <f t="shared" si="3"/>
        <v>0</v>
      </c>
      <c r="F69">
        <f t="shared" si="4"/>
        <v>0</v>
      </c>
      <c r="G69" s="6"/>
      <c r="H69" s="6"/>
      <c r="I69" s="99">
        <f t="shared" si="5"/>
        <v>0</v>
      </c>
      <c r="J69" s="6"/>
      <c r="K69" s="12">
        <v>32</v>
      </c>
      <c r="L69" s="6">
        <v>55</v>
      </c>
      <c r="M69" s="273">
        <v>0</v>
      </c>
      <c r="N69">
        <f t="shared" si="6"/>
        <v>0</v>
      </c>
      <c r="O69">
        <f t="shared" si="7"/>
        <v>0</v>
      </c>
      <c r="P69" s="6"/>
      <c r="Q69" s="6"/>
      <c r="R69" s="70">
        <f t="shared" si="8"/>
        <v>0</v>
      </c>
      <c r="T69" s="64" t="s">
        <v>115</v>
      </c>
      <c r="U69" s="85"/>
      <c r="V69" s="86"/>
      <c r="Y69" s="103"/>
      <c r="Z69" s="6"/>
      <c r="AA69" s="6"/>
      <c r="AB69" s="6"/>
    </row>
    <row r="70" spans="2:28" ht="14.25" customHeight="1" x14ac:dyDescent="0.3">
      <c r="B70" s="12">
        <v>50</v>
      </c>
      <c r="C70" s="6">
        <v>75</v>
      </c>
      <c r="D70" s="273">
        <v>0</v>
      </c>
      <c r="E70">
        <f t="shared" si="3"/>
        <v>0</v>
      </c>
      <c r="F70">
        <f t="shared" si="4"/>
        <v>0</v>
      </c>
      <c r="G70" s="6"/>
      <c r="H70" s="6"/>
      <c r="I70" s="99">
        <f t="shared" si="5"/>
        <v>0</v>
      </c>
      <c r="J70" s="6"/>
      <c r="K70" s="12">
        <v>50</v>
      </c>
      <c r="L70" s="6">
        <v>75</v>
      </c>
      <c r="M70" s="273">
        <v>0</v>
      </c>
      <c r="N70">
        <f t="shared" si="6"/>
        <v>0</v>
      </c>
      <c r="O70">
        <f t="shared" si="7"/>
        <v>0</v>
      </c>
      <c r="P70" s="6"/>
      <c r="Q70" s="6"/>
      <c r="R70" s="70">
        <f t="shared" si="8"/>
        <v>0</v>
      </c>
      <c r="T70" s="31"/>
      <c r="V70" s="70"/>
      <c r="Y70" s="64" t="s">
        <v>116</v>
      </c>
      <c r="Z70" s="85"/>
      <c r="AA70" s="85"/>
      <c r="AB70" s="86"/>
    </row>
    <row r="71" spans="2:28" ht="14.25" customHeight="1" x14ac:dyDescent="0.3">
      <c r="B71" s="12">
        <v>65</v>
      </c>
      <c r="C71" s="6">
        <v>90</v>
      </c>
      <c r="D71" s="273">
        <v>0</v>
      </c>
      <c r="E71">
        <f t="shared" si="3"/>
        <v>0</v>
      </c>
      <c r="F71">
        <f t="shared" si="4"/>
        <v>0</v>
      </c>
      <c r="I71" s="99">
        <f t="shared" si="5"/>
        <v>0</v>
      </c>
      <c r="J71" s="6"/>
      <c r="K71" s="12">
        <v>65</v>
      </c>
      <c r="L71" s="6">
        <v>90</v>
      </c>
      <c r="M71" s="273">
        <v>0</v>
      </c>
      <c r="N71">
        <f t="shared" si="6"/>
        <v>0</v>
      </c>
      <c r="O71">
        <f t="shared" si="7"/>
        <v>0</v>
      </c>
      <c r="R71" s="70">
        <f t="shared" si="8"/>
        <v>0</v>
      </c>
      <c r="T71" s="42">
        <f t="shared" ref="T71:V71" si="9">T67/25.4</f>
        <v>0</v>
      </c>
      <c r="U71" s="43">
        <f t="shared" si="9"/>
        <v>0</v>
      </c>
      <c r="V71" s="44">
        <f t="shared" si="9"/>
        <v>0</v>
      </c>
      <c r="Y71" s="31"/>
      <c r="AB71" s="70"/>
    </row>
    <row r="72" spans="2:28" ht="14.25" customHeight="1" x14ac:dyDescent="0.3">
      <c r="B72" s="12">
        <v>80</v>
      </c>
      <c r="C72" s="6">
        <v>110</v>
      </c>
      <c r="D72" s="273">
        <v>0</v>
      </c>
      <c r="E72">
        <f t="shared" si="3"/>
        <v>0</v>
      </c>
      <c r="F72">
        <f t="shared" si="4"/>
        <v>0</v>
      </c>
      <c r="I72" s="99">
        <f t="shared" si="5"/>
        <v>0</v>
      </c>
      <c r="J72" s="6"/>
      <c r="K72" s="12">
        <v>80</v>
      </c>
      <c r="L72" s="6">
        <v>110</v>
      </c>
      <c r="M72" s="273">
        <v>0</v>
      </c>
      <c r="N72">
        <f t="shared" si="6"/>
        <v>0</v>
      </c>
      <c r="O72">
        <f t="shared" si="7"/>
        <v>0</v>
      </c>
      <c r="R72" s="70">
        <f t="shared" si="8"/>
        <v>0</v>
      </c>
      <c r="Y72" s="12" t="s">
        <v>111</v>
      </c>
      <c r="Z72" s="6" t="s">
        <v>112</v>
      </c>
      <c r="AA72" s="6" t="s">
        <v>113</v>
      </c>
      <c r="AB72" s="13" t="s">
        <v>114</v>
      </c>
    </row>
    <row r="73" spans="2:28" ht="14.25" customHeight="1" x14ac:dyDescent="0.3">
      <c r="B73" s="12">
        <v>90</v>
      </c>
      <c r="C73" s="6">
        <v>120</v>
      </c>
      <c r="D73" s="273">
        <v>0</v>
      </c>
      <c r="E73">
        <f t="shared" si="3"/>
        <v>0</v>
      </c>
      <c r="F73">
        <f t="shared" si="4"/>
        <v>0</v>
      </c>
      <c r="I73" s="99">
        <f t="shared" si="5"/>
        <v>0</v>
      </c>
      <c r="J73" s="6"/>
      <c r="K73" s="12">
        <v>90</v>
      </c>
      <c r="L73" s="6">
        <v>120</v>
      </c>
      <c r="M73" s="273">
        <v>0</v>
      </c>
      <c r="N73">
        <f t="shared" si="6"/>
        <v>0</v>
      </c>
      <c r="O73">
        <f t="shared" si="7"/>
        <v>0</v>
      </c>
      <c r="R73" s="70">
        <f t="shared" si="8"/>
        <v>0</v>
      </c>
      <c r="Y73" s="12"/>
      <c r="Z73" s="6"/>
      <c r="AA73" s="6"/>
      <c r="AB73" s="13"/>
    </row>
    <row r="74" spans="2:28" ht="14.25" customHeight="1" x14ac:dyDescent="0.3">
      <c r="B74" s="12">
        <v>100</v>
      </c>
      <c r="C74" s="6">
        <v>135</v>
      </c>
      <c r="D74" s="273">
        <v>0</v>
      </c>
      <c r="E74">
        <f t="shared" si="3"/>
        <v>0</v>
      </c>
      <c r="F74">
        <f t="shared" si="4"/>
        <v>0</v>
      </c>
      <c r="I74" s="99">
        <f t="shared" si="5"/>
        <v>0</v>
      </c>
      <c r="J74" s="6"/>
      <c r="K74" s="12">
        <v>100</v>
      </c>
      <c r="L74" s="6">
        <v>135</v>
      </c>
      <c r="M74" s="273">
        <v>0</v>
      </c>
      <c r="N74">
        <f t="shared" si="6"/>
        <v>0</v>
      </c>
      <c r="O74">
        <f t="shared" si="7"/>
        <v>0</v>
      </c>
      <c r="R74" s="70">
        <f t="shared" si="8"/>
        <v>0</v>
      </c>
      <c r="Y74" s="278">
        <v>3.1749999999999998</v>
      </c>
      <c r="Z74" s="279">
        <v>12.7</v>
      </c>
      <c r="AA74" s="275">
        <v>1</v>
      </c>
      <c r="AB74" s="44">
        <f>Y74*Z74*AA74*1.55</f>
        <v>62.499874999999996</v>
      </c>
    </row>
    <row r="75" spans="2:28" ht="14.25" customHeight="1" x14ac:dyDescent="0.3">
      <c r="B75" s="12">
        <v>110</v>
      </c>
      <c r="C75" s="6">
        <v>150</v>
      </c>
      <c r="D75" s="273">
        <v>0</v>
      </c>
      <c r="E75">
        <f t="shared" si="3"/>
        <v>0</v>
      </c>
      <c r="F75">
        <f t="shared" si="4"/>
        <v>0</v>
      </c>
      <c r="I75" s="104">
        <f t="shared" si="5"/>
        <v>0</v>
      </c>
      <c r="J75" s="6"/>
      <c r="K75" s="12">
        <v>110</v>
      </c>
      <c r="L75" s="6">
        <v>150</v>
      </c>
      <c r="M75" s="274"/>
      <c r="R75" s="13"/>
    </row>
    <row r="76" spans="2:28" ht="14.25" customHeight="1" x14ac:dyDescent="0.3">
      <c r="B76" s="39"/>
      <c r="C76" s="62"/>
      <c r="D76" s="40">
        <f>SUM(D66:D75)</f>
        <v>0</v>
      </c>
      <c r="E76" s="62"/>
      <c r="F76" s="62"/>
      <c r="G76" s="101">
        <f>MAX(E66:E74)*8</f>
        <v>0</v>
      </c>
      <c r="H76" s="101">
        <f>IF( SUM(F66:F74)=0, 0, SUM(F66:F74)+((D76-1)*25)+100)</f>
        <v>0</v>
      </c>
      <c r="I76" s="102">
        <f>IF( MAX(F66:F74)=0, 0, MAX(I66:I74)+100)</f>
        <v>0</v>
      </c>
      <c r="J76" s="6"/>
      <c r="K76" s="39"/>
      <c r="L76" s="62"/>
      <c r="M76" s="40">
        <f>SUM(M66:M75)</f>
        <v>0</v>
      </c>
      <c r="N76" s="62"/>
      <c r="O76" s="62"/>
      <c r="P76" s="101">
        <f>MAX(N66:N74)*8</f>
        <v>0</v>
      </c>
      <c r="Q76" s="101">
        <f>IF( SUM(O66:O74)=0, 0, SUM(O66:O74)+((M76-1)*25)+100)</f>
        <v>0</v>
      </c>
      <c r="R76" s="102">
        <f>IF(MAX(O66:O74)=0,0,MAX(R66:R74)+100)</f>
        <v>0</v>
      </c>
    </row>
    <row r="77" spans="2:28" ht="14.25" customHeight="1" x14ac:dyDescent="0.3">
      <c r="J77" s="6"/>
      <c r="K77" s="6"/>
    </row>
    <row r="78" spans="2:28" ht="14.25" customHeight="1" x14ac:dyDescent="0.3">
      <c r="G78" s="32" t="s">
        <v>115</v>
      </c>
      <c r="H78" s="15"/>
      <c r="I78" s="16"/>
      <c r="J78" s="6"/>
      <c r="K78" s="6"/>
      <c r="P78" s="32" t="s">
        <v>115</v>
      </c>
      <c r="Q78" s="15"/>
      <c r="R78" s="16"/>
    </row>
    <row r="79" spans="2:28" ht="14.25" customHeight="1" x14ac:dyDescent="0.3">
      <c r="G79" s="31"/>
      <c r="I79" s="70"/>
      <c r="J79" s="6"/>
      <c r="K79" s="6"/>
      <c r="P79" s="31"/>
      <c r="R79" s="70"/>
    </row>
    <row r="80" spans="2:28" ht="14.25" customHeight="1" x14ac:dyDescent="0.3">
      <c r="G80" s="42">
        <f t="shared" ref="G80:I80" si="10">G76/25.4</f>
        <v>0</v>
      </c>
      <c r="H80" s="43">
        <f t="shared" si="10"/>
        <v>0</v>
      </c>
      <c r="I80" s="44">
        <f t="shared" si="10"/>
        <v>0</v>
      </c>
      <c r="J80" s="6"/>
      <c r="K80" s="6"/>
      <c r="P80" s="42">
        <f t="shared" ref="P80:R80" si="11">P76/25.4</f>
        <v>0</v>
      </c>
      <c r="Q80" s="43">
        <f t="shared" si="11"/>
        <v>0</v>
      </c>
      <c r="R80" s="44">
        <f t="shared" si="11"/>
        <v>0</v>
      </c>
    </row>
    <row r="81" spans="2:24" ht="14.25" customHeight="1" x14ac:dyDescent="0.3">
      <c r="G81" s="18"/>
      <c r="H81" s="18"/>
      <c r="I81" s="18"/>
      <c r="J81" s="6"/>
      <c r="K81" s="6"/>
      <c r="P81" s="18"/>
      <c r="Q81" s="18"/>
      <c r="R81" s="18"/>
    </row>
    <row r="82" spans="2:24" ht="14.25" customHeight="1" x14ac:dyDescent="0.3">
      <c r="G82" s="18"/>
      <c r="H82" s="18"/>
      <c r="I82" s="18"/>
      <c r="J82" s="6"/>
      <c r="K82" s="6"/>
      <c r="P82" s="18"/>
      <c r="Q82" s="18"/>
      <c r="R82" s="18"/>
    </row>
    <row r="83" spans="2:24" ht="14.25" customHeight="1" x14ac:dyDescent="0.3">
      <c r="H83" s="6"/>
      <c r="I83" s="6"/>
      <c r="J83" s="6"/>
      <c r="K83" s="6"/>
    </row>
    <row r="84" spans="2:24" ht="14.25" customHeight="1" x14ac:dyDescent="0.3">
      <c r="B84" s="105" t="s">
        <v>117</v>
      </c>
      <c r="C84" s="106"/>
      <c r="D84" s="106"/>
      <c r="E84" s="106"/>
      <c r="F84" s="106"/>
      <c r="G84" s="106"/>
      <c r="H84" s="16"/>
      <c r="I84" s="6"/>
      <c r="J84" s="6"/>
      <c r="K84" s="65" t="s">
        <v>118</v>
      </c>
      <c r="L84" s="85"/>
      <c r="M84" s="85"/>
      <c r="N84" s="85"/>
      <c r="O84" s="85"/>
      <c r="P84" s="85"/>
      <c r="Q84" s="86"/>
      <c r="S84" s="64" t="s">
        <v>119</v>
      </c>
      <c r="T84" s="86"/>
      <c r="V84" s="64" t="s">
        <v>120</v>
      </c>
      <c r="W84" s="85"/>
      <c r="X84" s="86"/>
    </row>
    <row r="85" spans="2:24" ht="14.25" customHeight="1" x14ac:dyDescent="0.3">
      <c r="B85" s="107"/>
      <c r="C85" s="46"/>
      <c r="D85" s="46"/>
      <c r="E85" s="46"/>
      <c r="F85" s="46"/>
      <c r="G85" s="46"/>
      <c r="H85" s="13"/>
      <c r="I85" s="6"/>
      <c r="J85" s="6"/>
      <c r="K85" s="108" t="s">
        <v>121</v>
      </c>
      <c r="Q85" s="70"/>
      <c r="S85" s="31"/>
      <c r="T85" s="70"/>
      <c r="V85" s="31"/>
      <c r="W85" s="71"/>
      <c r="X85" s="70"/>
    </row>
    <row r="86" spans="2:24" ht="14.25" customHeight="1" x14ac:dyDescent="0.3">
      <c r="B86" s="107" t="s">
        <v>122</v>
      </c>
      <c r="C86" s="46"/>
      <c r="D86" s="46"/>
      <c r="E86" s="46"/>
      <c r="F86" s="46"/>
      <c r="G86" s="46"/>
      <c r="H86" s="13"/>
      <c r="I86" s="6"/>
      <c r="J86" s="6"/>
      <c r="K86" s="12" t="s">
        <v>123</v>
      </c>
      <c r="L86" s="6"/>
      <c r="M86" s="6"/>
      <c r="N86" s="77" t="s">
        <v>124</v>
      </c>
      <c r="O86" s="77"/>
      <c r="Q86" s="70"/>
      <c r="S86" s="12" t="s">
        <v>125</v>
      </c>
      <c r="T86" s="13" t="s">
        <v>126</v>
      </c>
      <c r="V86" s="12" t="s">
        <v>127</v>
      </c>
      <c r="W86" s="6" t="s">
        <v>128</v>
      </c>
      <c r="X86" s="13" t="s">
        <v>129</v>
      </c>
    </row>
    <row r="87" spans="2:24" ht="14.25" customHeight="1" x14ac:dyDescent="0.3">
      <c r="B87" s="107" t="s">
        <v>130</v>
      </c>
      <c r="C87" s="46"/>
      <c r="D87" s="46"/>
      <c r="E87" s="46"/>
      <c r="F87" s="46"/>
      <c r="G87" s="46"/>
      <c r="H87" s="13"/>
      <c r="I87" s="6"/>
      <c r="J87" s="6"/>
      <c r="K87" s="12" t="s">
        <v>131</v>
      </c>
      <c r="L87" s="6" t="s">
        <v>132</v>
      </c>
      <c r="M87" s="6" t="s">
        <v>125</v>
      </c>
      <c r="N87" s="6" t="s">
        <v>126</v>
      </c>
      <c r="O87" s="6" t="s">
        <v>125</v>
      </c>
      <c r="P87" s="6" t="s">
        <v>133</v>
      </c>
      <c r="Q87" s="70"/>
      <c r="S87" s="272">
        <v>100</v>
      </c>
      <c r="T87" s="37">
        <f>SQRT((4*S87)/PI())</f>
        <v>11.283791670955125</v>
      </c>
      <c r="V87" s="272"/>
      <c r="W87" s="40" t="str">
        <f>IF(COUNTIF('Table Reference'!B37:B66, V87) &gt; 0, VLOOKUP(V87, 'Table Reference'!B37:D66, 2,FALSE), "-")</f>
        <v>-</v>
      </c>
      <c r="X87" s="109" t="str">
        <f>IF(COUNTIF('Table Reference'!C37:C42, W87) &gt; 0, VLOOKUP(W87, 'Table Reference'!C37:D66, 2,FALSE), "-")</f>
        <v>-</v>
      </c>
    </row>
    <row r="88" spans="2:24" ht="14.25" customHeight="1" x14ac:dyDescent="0.3">
      <c r="B88" s="12" t="s">
        <v>134</v>
      </c>
      <c r="C88" s="6" t="s">
        <v>135</v>
      </c>
      <c r="D88" s="6" t="s">
        <v>136</v>
      </c>
      <c r="E88" s="6" t="s">
        <v>126</v>
      </c>
      <c r="F88" s="6" t="s">
        <v>137</v>
      </c>
      <c r="G88" s="6" t="s">
        <v>109</v>
      </c>
      <c r="H88" s="13" t="s">
        <v>110</v>
      </c>
      <c r="I88" s="6"/>
      <c r="J88" s="6"/>
      <c r="K88" s="31"/>
      <c r="M88" s="6"/>
      <c r="N88" s="6"/>
      <c r="O88" s="6"/>
      <c r="P88" s="6"/>
      <c r="Q88" s="70"/>
    </row>
    <row r="89" spans="2:24" ht="14.25" customHeight="1" x14ac:dyDescent="0.3">
      <c r="B89" s="12">
        <v>50</v>
      </c>
      <c r="C89" s="18">
        <v>14.8</v>
      </c>
      <c r="D89" s="273">
        <v>0</v>
      </c>
      <c r="E89" s="6" t="str">
        <f t="shared" ref="E89:E95" si="12">IF(D89&gt;0, C89, "-")</f>
        <v>-</v>
      </c>
      <c r="F89" s="6">
        <f t="shared" ref="F89:F95" si="13">IF(D89&gt;0, 1, 0)</f>
        <v>0</v>
      </c>
      <c r="G89" s="46"/>
      <c r="H89" s="13"/>
      <c r="I89" s="6"/>
      <c r="J89" s="6"/>
      <c r="K89" s="272">
        <v>27.9</v>
      </c>
      <c r="L89" s="275">
        <v>6</v>
      </c>
      <c r="M89" s="36">
        <f>((K89^2)*PI()/4)*L89</f>
        <v>3668.1707062212463</v>
      </c>
      <c r="N89" s="275">
        <v>110</v>
      </c>
      <c r="O89" s="36">
        <f>(N89^2)*PI()/4</f>
        <v>9503.317777109125</v>
      </c>
      <c r="P89" s="43">
        <f>IF(O89&lt;1,"-",M89/O89*100)</f>
        <v>38.598842975206608</v>
      </c>
      <c r="Q89" s="290" t="str">
        <f>IF(IF(L89&gt;3, 40, VLOOKUP(L89, K92:N94, 4,FALSE))&gt;=P89,"PASS","FAIL")</f>
        <v>PASS</v>
      </c>
    </row>
    <row r="90" spans="2:24" ht="14.25" customHeight="1" thickBot="1" x14ac:dyDescent="0.35">
      <c r="B90" s="12">
        <v>70</v>
      </c>
      <c r="C90" s="18">
        <v>17</v>
      </c>
      <c r="D90" s="273">
        <v>0</v>
      </c>
      <c r="E90" s="6" t="str">
        <f t="shared" si="12"/>
        <v>-</v>
      </c>
      <c r="F90" s="6">
        <f t="shared" si="13"/>
        <v>0</v>
      </c>
      <c r="G90" s="46"/>
      <c r="H90" s="13"/>
      <c r="I90" s="6"/>
      <c r="J90" s="6"/>
      <c r="K90" s="6"/>
    </row>
    <row r="91" spans="2:24" ht="14.25" customHeight="1" x14ac:dyDescent="0.3">
      <c r="B91" s="12">
        <v>95</v>
      </c>
      <c r="C91" s="18">
        <v>18.7</v>
      </c>
      <c r="D91" s="273">
        <v>0</v>
      </c>
      <c r="E91" s="6" t="str">
        <f t="shared" si="12"/>
        <v>-</v>
      </c>
      <c r="F91" s="6">
        <f t="shared" si="13"/>
        <v>0</v>
      </c>
      <c r="G91" s="46"/>
      <c r="H91" s="13"/>
      <c r="I91" s="6"/>
      <c r="J91" s="6"/>
      <c r="K91" s="152" t="s">
        <v>138</v>
      </c>
      <c r="L91" s="153"/>
      <c r="M91" s="153"/>
      <c r="N91" s="178"/>
    </row>
    <row r="92" spans="2:24" ht="14.25" customHeight="1" x14ac:dyDescent="0.3">
      <c r="B92" s="12">
        <v>120</v>
      </c>
      <c r="C92" s="18">
        <v>20.6</v>
      </c>
      <c r="D92" s="273">
        <v>0</v>
      </c>
      <c r="E92" s="6" t="str">
        <f t="shared" si="12"/>
        <v>-</v>
      </c>
      <c r="F92" s="6">
        <f t="shared" si="13"/>
        <v>0</v>
      </c>
      <c r="G92" s="46"/>
      <c r="H92" s="13"/>
      <c r="I92" s="6"/>
      <c r="J92" s="6"/>
      <c r="K92" s="160">
        <v>1</v>
      </c>
      <c r="L92" s="158" t="s">
        <v>139</v>
      </c>
      <c r="M92" s="147"/>
      <c r="N92" s="236">
        <v>53</v>
      </c>
    </row>
    <row r="93" spans="2:24" ht="14.25" customHeight="1" x14ac:dyDescent="0.3">
      <c r="B93" s="12">
        <v>150</v>
      </c>
      <c r="C93" s="18">
        <v>23.1</v>
      </c>
      <c r="D93" s="273">
        <v>0</v>
      </c>
      <c r="E93" s="6" t="str">
        <f t="shared" si="12"/>
        <v>-</v>
      </c>
      <c r="F93" s="6">
        <f t="shared" si="13"/>
        <v>0</v>
      </c>
      <c r="G93" s="46"/>
      <c r="H93" s="13"/>
      <c r="I93" s="6"/>
      <c r="J93" s="6"/>
      <c r="K93" s="160">
        <v>2</v>
      </c>
      <c r="L93" s="158" t="s">
        <v>140</v>
      </c>
      <c r="M93" s="147"/>
      <c r="N93" s="236">
        <v>31</v>
      </c>
    </row>
    <row r="94" spans="2:24" ht="14.25" customHeight="1" thickBot="1" x14ac:dyDescent="0.35">
      <c r="B94" s="12">
        <v>185</v>
      </c>
      <c r="C94" s="18">
        <v>25.2</v>
      </c>
      <c r="D94" s="273">
        <v>0</v>
      </c>
      <c r="E94" s="6" t="str">
        <f t="shared" si="12"/>
        <v>-</v>
      </c>
      <c r="F94" s="6">
        <f t="shared" si="13"/>
        <v>0</v>
      </c>
      <c r="G94" s="46"/>
      <c r="H94" s="13"/>
      <c r="I94" s="6"/>
      <c r="J94" s="6"/>
      <c r="K94" s="161">
        <v>3</v>
      </c>
      <c r="L94" s="163" t="s">
        <v>141</v>
      </c>
      <c r="M94" s="162"/>
      <c r="N94" s="237">
        <v>40</v>
      </c>
    </row>
    <row r="95" spans="2:24" ht="14.25" customHeight="1" x14ac:dyDescent="0.3">
      <c r="B95" s="12">
        <v>240</v>
      </c>
      <c r="C95" s="18">
        <v>27.9</v>
      </c>
      <c r="D95" s="273">
        <v>3</v>
      </c>
      <c r="E95" s="6">
        <f t="shared" si="12"/>
        <v>27.9</v>
      </c>
      <c r="F95" s="6">
        <f t="shared" si="13"/>
        <v>1</v>
      </c>
      <c r="G95" s="46"/>
      <c r="H95" s="13"/>
      <c r="I95" s="6"/>
      <c r="J95" s="6"/>
      <c r="K95" s="147"/>
      <c r="L95" s="158"/>
      <c r="M95" s="157"/>
      <c r="N95" s="158"/>
    </row>
    <row r="96" spans="2:24" ht="14.25" customHeight="1" thickBot="1" x14ac:dyDescent="0.35">
      <c r="B96" s="52"/>
      <c r="C96" s="110"/>
      <c r="D96" s="40">
        <f>SUM(D89:D95)</f>
        <v>3</v>
      </c>
      <c r="E96" s="40">
        <f>IF(SUM(E89:E95)&gt;0,SUM(E89:E95),"-")</f>
        <v>27.9</v>
      </c>
      <c r="F96" s="40">
        <f>IF(SUM(F89:F95)&gt;1, 0, E96)</f>
        <v>27.9</v>
      </c>
      <c r="G96" s="101">
        <f>IF(D96&gt;0,(2*(F96)*D96) + (2.15*(F96)*(D96+1)), "-")</f>
        <v>407.33999999999992</v>
      </c>
      <c r="H96" s="102">
        <v>150</v>
      </c>
      <c r="I96" s="6"/>
      <c r="J96" s="6"/>
      <c r="K96" s="6"/>
    </row>
    <row r="97" spans="2:15" ht="14.25" customHeight="1" x14ac:dyDescent="0.3">
      <c r="B97" s="6"/>
      <c r="H97" s="6"/>
      <c r="I97" s="6"/>
      <c r="J97" s="6"/>
      <c r="K97" s="6"/>
    </row>
    <row r="98" spans="2:15" ht="14.25" customHeight="1" x14ac:dyDescent="0.3">
      <c r="B98" s="65" t="s">
        <v>118</v>
      </c>
      <c r="C98" s="85"/>
      <c r="D98" s="85"/>
      <c r="E98" s="85"/>
      <c r="F98" s="85"/>
      <c r="G98" s="85"/>
      <c r="H98" s="15"/>
      <c r="I98" s="15"/>
      <c r="J98" s="16"/>
      <c r="K98" s="6"/>
    </row>
    <row r="99" spans="2:15" ht="14.25" customHeight="1" x14ac:dyDescent="0.3">
      <c r="B99" s="108" t="s">
        <v>142</v>
      </c>
      <c r="C99" s="6"/>
      <c r="D99" s="6"/>
      <c r="E99" s="6"/>
      <c r="H99" s="6"/>
      <c r="I99" s="6"/>
      <c r="J99" s="13"/>
      <c r="K99" s="6"/>
    </row>
    <row r="100" spans="2:15" ht="14.25" customHeight="1" x14ac:dyDescent="0.3">
      <c r="B100" s="12" t="s">
        <v>123</v>
      </c>
      <c r="C100" s="6"/>
      <c r="D100" s="6"/>
      <c r="E100" s="6"/>
      <c r="F100" s="6"/>
      <c r="G100" s="6"/>
      <c r="H100" s="6"/>
      <c r="I100" s="6"/>
      <c r="J100" s="13"/>
      <c r="K100" s="6"/>
    </row>
    <row r="101" spans="2:15" ht="14.25" customHeight="1" x14ac:dyDescent="0.3">
      <c r="B101" s="12" t="s">
        <v>131</v>
      </c>
      <c r="C101" s="6" t="s">
        <v>132</v>
      </c>
      <c r="D101" s="6" t="s">
        <v>143</v>
      </c>
      <c r="E101" s="6" t="s">
        <v>125</v>
      </c>
      <c r="F101" s="6" t="s">
        <v>109</v>
      </c>
      <c r="G101" s="6" t="s">
        <v>144</v>
      </c>
      <c r="H101" s="6" t="s">
        <v>125</v>
      </c>
      <c r="I101" s="6" t="s">
        <v>133</v>
      </c>
      <c r="J101" s="13" t="s">
        <v>145</v>
      </c>
      <c r="K101" s="6"/>
    </row>
    <row r="102" spans="2:15" ht="14.25" customHeight="1" x14ac:dyDescent="0.3">
      <c r="B102" s="12"/>
      <c r="C102" s="6"/>
      <c r="D102" s="6"/>
      <c r="E102" s="6"/>
      <c r="F102" s="6"/>
      <c r="G102" s="6"/>
      <c r="H102" s="6"/>
      <c r="I102" s="6"/>
      <c r="J102" s="13"/>
      <c r="K102" s="6"/>
    </row>
    <row r="103" spans="2:15" ht="14.25" customHeight="1" x14ac:dyDescent="0.3">
      <c r="B103" s="272">
        <v>27.9</v>
      </c>
      <c r="C103" s="275">
        <v>16</v>
      </c>
      <c r="D103" s="275"/>
      <c r="E103" s="40">
        <f>(((B103^2)*PI()/4)*C103)+((D103^2)*PI()/4)</f>
        <v>9781.7885499233234</v>
      </c>
      <c r="F103" s="275">
        <v>300</v>
      </c>
      <c r="G103" s="275">
        <v>150</v>
      </c>
      <c r="H103" s="40">
        <f>F103*G103</f>
        <v>45000</v>
      </c>
      <c r="I103" s="43">
        <f>IF(H103&lt;=0,"-",(E103/H103)*100)</f>
        <v>21.737307888718497</v>
      </c>
      <c r="J103" s="290" t="str">
        <f>IF(I103&lt;=20, "PASS", "FAIL")</f>
        <v>FAIL</v>
      </c>
      <c r="K103" s="6"/>
    </row>
    <row r="104" spans="2:15" ht="14.25" customHeight="1" x14ac:dyDescent="0.3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2:15" ht="14.25" customHeight="1" x14ac:dyDescent="0.3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2:15" ht="14.25" customHeight="1" x14ac:dyDescent="0.3">
      <c r="C106" s="6"/>
      <c r="D106" s="6"/>
      <c r="E106" s="6"/>
      <c r="H106" s="6"/>
      <c r="I106" s="6"/>
      <c r="J106" s="6"/>
      <c r="K106" s="6"/>
    </row>
    <row r="107" spans="2:15" ht="14.25" customHeight="1" x14ac:dyDescent="0.3">
      <c r="C107" s="6"/>
      <c r="D107" s="6"/>
      <c r="E107" s="6"/>
      <c r="H107" s="6"/>
      <c r="I107" s="6"/>
      <c r="J107" s="6"/>
      <c r="K107" s="6"/>
    </row>
    <row r="108" spans="2:15" ht="14.25" customHeight="1" x14ac:dyDescent="0.3">
      <c r="C108" s="6"/>
      <c r="D108" s="6"/>
      <c r="E108" s="6"/>
      <c r="H108" s="6"/>
      <c r="I108" s="6"/>
      <c r="J108" s="6"/>
      <c r="K108" s="6"/>
    </row>
    <row r="109" spans="2:15" ht="14.25" customHeight="1" x14ac:dyDescent="0.3">
      <c r="C109" s="6"/>
      <c r="D109" s="6"/>
      <c r="E109" s="6"/>
      <c r="H109" s="6"/>
      <c r="I109" s="6"/>
      <c r="J109" s="6"/>
      <c r="K109" s="6"/>
    </row>
    <row r="110" spans="2:15" ht="14.25" customHeight="1" x14ac:dyDescent="0.3">
      <c r="C110" s="6"/>
      <c r="D110" s="6"/>
      <c r="E110" s="6"/>
      <c r="H110" s="6"/>
      <c r="I110" s="6"/>
      <c r="J110" s="6"/>
      <c r="K110" s="6"/>
    </row>
    <row r="111" spans="2:15" ht="14.25" customHeight="1" x14ac:dyDescent="0.3">
      <c r="C111" s="6"/>
      <c r="D111" s="6"/>
      <c r="E111" s="6"/>
      <c r="H111" s="6"/>
      <c r="I111" s="6"/>
      <c r="J111" s="6"/>
      <c r="K111" s="6"/>
    </row>
    <row r="112" spans="2:15" ht="14.25" customHeight="1" x14ac:dyDescent="0.3">
      <c r="C112" s="6"/>
      <c r="D112" s="6"/>
      <c r="E112" s="6"/>
      <c r="F112" s="6"/>
      <c r="G112" s="6"/>
      <c r="H112" s="6"/>
      <c r="I112" s="6"/>
      <c r="L112" s="6"/>
      <c r="M112" s="6"/>
      <c r="N112" s="6"/>
      <c r="O112" s="6"/>
    </row>
    <row r="113" spans="3:15" ht="14.25" customHeight="1" x14ac:dyDescent="0.3">
      <c r="C113" s="6"/>
      <c r="D113" s="6"/>
      <c r="E113" s="6"/>
      <c r="F113" s="6"/>
      <c r="G113" s="6"/>
      <c r="H113" s="6"/>
      <c r="I113" s="6"/>
      <c r="L113" s="6"/>
      <c r="M113" s="6"/>
      <c r="N113" s="6"/>
      <c r="O113" s="6"/>
    </row>
    <row r="114" spans="3:15" ht="14.25" customHeight="1" x14ac:dyDescent="0.3">
      <c r="C114" s="6"/>
      <c r="D114" s="6"/>
      <c r="E114" s="6"/>
      <c r="F114" s="6"/>
      <c r="G114" s="6"/>
      <c r="H114" s="6"/>
      <c r="I114" s="6"/>
      <c r="L114" s="6"/>
      <c r="M114" s="6"/>
      <c r="N114" s="6"/>
      <c r="O114" s="6"/>
    </row>
    <row r="115" spans="3:15" ht="14.25" customHeight="1" x14ac:dyDescent="0.3">
      <c r="C115" s="6"/>
      <c r="D115" s="6"/>
      <c r="E115" s="6"/>
      <c r="F115" s="6"/>
      <c r="G115" s="6"/>
      <c r="H115" s="6"/>
      <c r="I115" s="6"/>
      <c r="L115" s="6"/>
      <c r="M115" s="6"/>
      <c r="N115" s="6"/>
      <c r="O115" s="6"/>
    </row>
    <row r="116" spans="3:15" ht="14.25" customHeight="1" x14ac:dyDescent="0.3">
      <c r="C116" s="6"/>
      <c r="D116" s="6"/>
      <c r="E116" s="6"/>
      <c r="F116" s="6"/>
      <c r="G116" s="6"/>
      <c r="H116" s="6"/>
      <c r="I116" s="6"/>
      <c r="L116" s="6"/>
      <c r="M116" s="6"/>
      <c r="N116" s="6"/>
      <c r="O116" s="6"/>
    </row>
    <row r="117" spans="3:15" ht="14.25" customHeight="1" x14ac:dyDescent="0.3">
      <c r="C117" s="6"/>
      <c r="D117" s="6"/>
      <c r="E117" s="6"/>
      <c r="F117" s="6"/>
      <c r="G117" s="6"/>
      <c r="H117" s="6"/>
      <c r="I117" s="6"/>
      <c r="L117" s="6"/>
      <c r="M117" s="6"/>
      <c r="N117" s="6"/>
      <c r="O117" s="6"/>
    </row>
    <row r="118" spans="3:15" ht="14.25" customHeight="1" x14ac:dyDescent="0.3">
      <c r="C118" s="6"/>
      <c r="D118" s="6"/>
      <c r="E118" s="6"/>
      <c r="F118" s="6"/>
      <c r="G118" s="6"/>
      <c r="H118" s="6"/>
      <c r="I118" s="6"/>
      <c r="L118" s="6"/>
      <c r="M118" s="6"/>
      <c r="N118" s="6"/>
      <c r="O118" s="6"/>
    </row>
    <row r="119" spans="3:15" ht="14.25" customHeight="1" x14ac:dyDescent="0.3">
      <c r="C119" s="6"/>
      <c r="D119" s="6"/>
      <c r="E119" s="6"/>
      <c r="F119" s="6"/>
      <c r="G119" s="6"/>
      <c r="H119" s="6"/>
      <c r="I119" s="6"/>
      <c r="L119" s="6"/>
      <c r="M119" s="6"/>
      <c r="N119" s="6"/>
      <c r="O119" s="6"/>
    </row>
    <row r="120" spans="3:15" ht="14.25" customHeight="1" x14ac:dyDescent="0.3">
      <c r="C120" s="6"/>
      <c r="D120" s="6"/>
      <c r="E120" s="6"/>
      <c r="F120" s="6"/>
      <c r="G120" s="6"/>
      <c r="H120" s="6"/>
      <c r="I120" s="6"/>
      <c r="L120" s="6"/>
      <c r="M120" s="6"/>
      <c r="N120" s="6"/>
      <c r="O120" s="6"/>
    </row>
    <row r="121" spans="3:15" ht="14.25" customHeight="1" x14ac:dyDescent="0.3">
      <c r="C121" s="6"/>
      <c r="D121" s="6"/>
      <c r="E121" s="6"/>
      <c r="F121" s="6"/>
      <c r="G121" s="6"/>
      <c r="H121" s="6"/>
      <c r="I121" s="6"/>
      <c r="L121" s="6"/>
      <c r="M121" s="6"/>
      <c r="N121" s="6"/>
      <c r="O121" s="6"/>
    </row>
    <row r="122" spans="3:15" ht="14.25" customHeight="1" x14ac:dyDescent="0.3">
      <c r="C122" s="6"/>
      <c r="D122" s="6"/>
      <c r="E122" s="6"/>
      <c r="F122" s="6"/>
      <c r="G122" s="6"/>
      <c r="H122" s="6"/>
      <c r="I122" s="6"/>
      <c r="L122" s="6"/>
      <c r="M122" s="6"/>
      <c r="N122" s="6"/>
      <c r="O122" s="6"/>
    </row>
  </sheetData>
  <sheetProtection algorithmName="SHA-512" hashValue="X97UB2lCs8/rtkMaHM6Z0e1Mjnh6xhmCKtb/aPx3/brQ9et/EjW9ee3u8JeQBvO3bCUQSbHxzUeKjsS4ckCGKg==" saltValue="mPsGkAvYAxe9pGfdhsmqLA==" spinCount="100000" sheet="1" objects="1" scenarios="1"/>
  <mergeCells count="7">
    <mergeCell ref="Q27:S27"/>
    <mergeCell ref="H2:K2"/>
    <mergeCell ref="H3:K3"/>
    <mergeCell ref="M11:O11"/>
    <mergeCell ref="M19:O19"/>
    <mergeCell ref="M27:O27"/>
    <mergeCell ref="Q19:S1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P127"/>
  <sheetViews>
    <sheetView topLeftCell="A41" zoomScale="85" zoomScaleNormal="85" workbookViewId="0">
      <selection activeCell="D80" sqref="D80"/>
    </sheetView>
  </sheetViews>
  <sheetFormatPr defaultColWidth="14.44140625" defaultRowHeight="15" customHeight="1" x14ac:dyDescent="0.3"/>
  <cols>
    <col min="1" max="3" width="8.6640625" customWidth="1"/>
    <col min="4" max="4" width="105.44140625" customWidth="1"/>
    <col min="5" max="6" width="17" customWidth="1"/>
    <col min="7" max="9" width="8.6640625" customWidth="1"/>
    <col min="10" max="15" width="10.6640625" customWidth="1"/>
    <col min="16" max="16" width="8.6640625" customWidth="1"/>
  </cols>
  <sheetData>
    <row r="1" spans="2:15" ht="14.25" customHeight="1" x14ac:dyDescent="0.3">
      <c r="B1" s="6"/>
      <c r="C1" s="6"/>
      <c r="J1" s="6"/>
      <c r="K1" s="6"/>
      <c r="L1" s="6"/>
      <c r="M1" s="6"/>
    </row>
    <row r="2" spans="2:15" ht="14.25" customHeight="1" x14ac:dyDescent="0.3">
      <c r="B2" s="364" t="s">
        <v>146</v>
      </c>
      <c r="C2" s="345"/>
      <c r="D2" s="345"/>
      <c r="E2" s="345"/>
      <c r="F2" s="346"/>
      <c r="J2" s="6"/>
      <c r="K2" s="6"/>
      <c r="L2" s="6"/>
      <c r="M2" s="6"/>
    </row>
    <row r="3" spans="2:15" ht="14.25" customHeight="1" x14ac:dyDescent="0.3">
      <c r="B3" s="112" t="s">
        <v>23</v>
      </c>
      <c r="C3" s="112" t="s">
        <v>147</v>
      </c>
      <c r="D3" s="40" t="s">
        <v>148</v>
      </c>
      <c r="E3" s="364" t="s">
        <v>149</v>
      </c>
      <c r="F3" s="346"/>
      <c r="J3" s="6"/>
      <c r="K3" s="6"/>
      <c r="L3" s="6"/>
      <c r="M3" s="6"/>
    </row>
    <row r="4" spans="2:15" ht="14.25" customHeight="1" x14ac:dyDescent="0.3">
      <c r="B4" s="6"/>
      <c r="C4" s="6"/>
      <c r="J4" s="6"/>
      <c r="K4" s="6"/>
      <c r="L4" s="6"/>
      <c r="M4" s="6"/>
    </row>
    <row r="5" spans="2:15" ht="14.25" customHeight="1" x14ac:dyDescent="0.3">
      <c r="B5" s="65" t="s">
        <v>150</v>
      </c>
      <c r="C5" s="15"/>
      <c r="D5" s="66"/>
      <c r="E5" s="15" t="s">
        <v>151</v>
      </c>
      <c r="F5" s="16" t="s">
        <v>152</v>
      </c>
      <c r="H5" s="364" t="s">
        <v>153</v>
      </c>
      <c r="I5" s="346"/>
      <c r="J5" s="364" t="s">
        <v>154</v>
      </c>
      <c r="K5" s="345"/>
      <c r="L5" s="346"/>
      <c r="M5" s="365" t="s">
        <v>155</v>
      </c>
      <c r="N5" s="345"/>
      <c r="O5" s="346"/>
    </row>
    <row r="6" spans="2:15" ht="14.25" customHeight="1" x14ac:dyDescent="0.3">
      <c r="B6" s="114">
        <v>20</v>
      </c>
      <c r="C6" s="68" t="s">
        <v>156</v>
      </c>
      <c r="D6" s="115" t="s">
        <v>157</v>
      </c>
      <c r="E6" s="115"/>
      <c r="F6" s="116"/>
      <c r="H6" s="111" t="s">
        <v>73</v>
      </c>
      <c r="I6" s="117" t="s">
        <v>72</v>
      </c>
      <c r="J6" s="111" t="s">
        <v>158</v>
      </c>
      <c r="K6" s="113" t="s">
        <v>159</v>
      </c>
      <c r="L6" s="117" t="s">
        <v>160</v>
      </c>
      <c r="M6" s="113" t="s">
        <v>158</v>
      </c>
      <c r="N6" s="113" t="s">
        <v>159</v>
      </c>
      <c r="O6" s="117" t="s">
        <v>160</v>
      </c>
    </row>
    <row r="7" spans="2:15" ht="14.25" customHeight="1" x14ac:dyDescent="0.3">
      <c r="B7" s="12">
        <v>30</v>
      </c>
      <c r="C7" s="6" t="s">
        <v>161</v>
      </c>
      <c r="D7" s="46" t="s">
        <v>162</v>
      </c>
      <c r="E7" s="46"/>
      <c r="F7" s="118"/>
      <c r="H7" s="12">
        <v>15</v>
      </c>
      <c r="I7" s="119">
        <v>0.5</v>
      </c>
      <c r="J7" s="17">
        <v>21.335999999999999</v>
      </c>
      <c r="K7" s="18">
        <v>20.7</v>
      </c>
      <c r="L7" s="19">
        <v>17.93</v>
      </c>
      <c r="M7" s="18">
        <v>15.290799999999999</v>
      </c>
      <c r="N7" s="6">
        <v>17.119999999999997</v>
      </c>
      <c r="O7" s="13">
        <v>15.89</v>
      </c>
    </row>
    <row r="8" spans="2:15" ht="14.25" customHeight="1" x14ac:dyDescent="0.3">
      <c r="B8" s="114">
        <v>40</v>
      </c>
      <c r="C8" s="68" t="s">
        <v>163</v>
      </c>
      <c r="D8" s="115" t="s">
        <v>164</v>
      </c>
      <c r="E8" s="115"/>
      <c r="F8" s="116"/>
      <c r="H8" s="12">
        <v>20</v>
      </c>
      <c r="I8" s="119">
        <v>0.75</v>
      </c>
      <c r="J8" s="17">
        <v>26.669999999999998</v>
      </c>
      <c r="K8" s="18">
        <v>26.14</v>
      </c>
      <c r="L8" s="19">
        <v>23.42</v>
      </c>
      <c r="M8" s="18">
        <v>20.421600000000002</v>
      </c>
      <c r="N8" s="6">
        <v>22.34</v>
      </c>
      <c r="O8" s="13">
        <v>21.060000000000002</v>
      </c>
    </row>
    <row r="9" spans="2:15" ht="14.25" customHeight="1" x14ac:dyDescent="0.3">
      <c r="B9" s="12" t="s">
        <v>165</v>
      </c>
      <c r="C9" s="6" t="s">
        <v>166</v>
      </c>
      <c r="D9" s="46" t="s">
        <v>167</v>
      </c>
      <c r="E9" s="46"/>
      <c r="F9" s="118"/>
      <c r="H9" s="12">
        <v>25</v>
      </c>
      <c r="I9" s="93">
        <v>1</v>
      </c>
      <c r="J9" s="17">
        <v>33.400999999999996</v>
      </c>
      <c r="K9" s="18">
        <v>33.270000000000003</v>
      </c>
      <c r="L9" s="19">
        <v>29.54</v>
      </c>
      <c r="M9" s="18">
        <v>26.136599999999998</v>
      </c>
      <c r="N9" s="6">
        <v>28.950000000000003</v>
      </c>
      <c r="O9" s="13">
        <v>26.799999999999997</v>
      </c>
    </row>
    <row r="10" spans="2:15" ht="14.25" customHeight="1" x14ac:dyDescent="0.3">
      <c r="B10" s="114" t="s">
        <v>168</v>
      </c>
      <c r="C10" s="68" t="s">
        <v>169</v>
      </c>
      <c r="D10" s="115" t="s">
        <v>170</v>
      </c>
      <c r="E10" s="115"/>
      <c r="F10" s="116"/>
      <c r="H10" s="12">
        <v>32</v>
      </c>
      <c r="I10" s="119">
        <v>1.25</v>
      </c>
      <c r="J10" s="17">
        <v>42.163999999999994</v>
      </c>
      <c r="K10" s="18">
        <v>41.59</v>
      </c>
      <c r="L10" s="19">
        <v>38.35</v>
      </c>
      <c r="M10" s="18">
        <v>34.544000000000004</v>
      </c>
      <c r="N10" s="6">
        <v>37.010000000000005</v>
      </c>
      <c r="O10" s="13">
        <v>35.21</v>
      </c>
    </row>
    <row r="11" spans="2:15" ht="14.25" customHeight="1" x14ac:dyDescent="0.3">
      <c r="B11" s="12">
        <v>100</v>
      </c>
      <c r="C11" s="6" t="s">
        <v>171</v>
      </c>
      <c r="D11" s="46" t="s">
        <v>172</v>
      </c>
      <c r="E11" s="46"/>
      <c r="F11" s="118"/>
      <c r="H11" s="12">
        <v>40</v>
      </c>
      <c r="I11" s="119">
        <v>1.5</v>
      </c>
      <c r="J11" s="17">
        <v>48.26</v>
      </c>
      <c r="K11" s="18">
        <v>47.81</v>
      </c>
      <c r="L11" s="19">
        <v>44.2</v>
      </c>
      <c r="M11" s="18">
        <v>40.386000000000003</v>
      </c>
      <c r="N11" s="6">
        <v>42.99</v>
      </c>
      <c r="O11" s="13">
        <v>41.06</v>
      </c>
    </row>
    <row r="12" spans="2:15" ht="14.25" customHeight="1" x14ac:dyDescent="0.3">
      <c r="B12" s="114">
        <v>125</v>
      </c>
      <c r="C12" s="68" t="s">
        <v>173</v>
      </c>
      <c r="D12" s="115" t="s">
        <v>174</v>
      </c>
      <c r="E12" s="115"/>
      <c r="F12" s="116"/>
      <c r="H12" s="12">
        <v>50</v>
      </c>
      <c r="I12" s="93">
        <v>2</v>
      </c>
      <c r="J12" s="17">
        <v>60.324999999999996</v>
      </c>
      <c r="K12" s="18">
        <v>59.93</v>
      </c>
      <c r="L12" s="19">
        <v>55.8</v>
      </c>
      <c r="M12" s="18">
        <v>51.9938</v>
      </c>
      <c r="N12" s="6">
        <v>52.81</v>
      </c>
      <c r="O12" s="13">
        <v>52.66</v>
      </c>
    </row>
    <row r="13" spans="2:15" ht="14.25" customHeight="1" x14ac:dyDescent="0.3">
      <c r="B13" s="12">
        <v>150</v>
      </c>
      <c r="C13" s="6" t="s">
        <v>175</v>
      </c>
      <c r="D13" s="249" t="s">
        <v>649</v>
      </c>
      <c r="E13" s="46"/>
      <c r="F13" s="118"/>
      <c r="H13" s="12">
        <v>65</v>
      </c>
      <c r="I13" s="119">
        <v>2.5</v>
      </c>
      <c r="J13" s="17">
        <v>73.024999999999991</v>
      </c>
      <c r="K13" s="18">
        <v>72.56</v>
      </c>
      <c r="L13" s="19" t="s">
        <v>176</v>
      </c>
      <c r="M13" s="18">
        <v>62.102999999999994</v>
      </c>
      <c r="N13" s="6">
        <v>65.44</v>
      </c>
      <c r="O13" s="13" t="s">
        <v>176</v>
      </c>
    </row>
    <row r="14" spans="2:15" ht="14.25" customHeight="1" x14ac:dyDescent="0.3">
      <c r="B14" s="114">
        <v>200</v>
      </c>
      <c r="C14" s="68" t="s">
        <v>177</v>
      </c>
      <c r="D14" s="115" t="s">
        <v>178</v>
      </c>
      <c r="E14" s="115"/>
      <c r="F14" s="116"/>
      <c r="H14" s="12">
        <v>80</v>
      </c>
      <c r="I14" s="93">
        <v>3</v>
      </c>
      <c r="J14" s="17">
        <v>88.899999999999991</v>
      </c>
      <c r="K14" s="18">
        <v>88.29</v>
      </c>
      <c r="L14" s="19" t="s">
        <v>176</v>
      </c>
      <c r="M14" s="18">
        <v>77.266799999999989</v>
      </c>
      <c r="N14" s="6">
        <v>81.17</v>
      </c>
      <c r="O14" s="13" t="s">
        <v>176</v>
      </c>
    </row>
    <row r="15" spans="2:15" ht="14.25" customHeight="1" x14ac:dyDescent="0.3">
      <c r="B15" s="12">
        <v>225</v>
      </c>
      <c r="C15" s="6" t="s">
        <v>179</v>
      </c>
      <c r="D15" s="46" t="s">
        <v>180</v>
      </c>
      <c r="E15" s="46"/>
      <c r="F15" s="118"/>
      <c r="H15" s="12">
        <v>90</v>
      </c>
      <c r="I15" s="119">
        <v>3.5</v>
      </c>
      <c r="J15" s="17">
        <v>101.6</v>
      </c>
      <c r="K15" s="18">
        <v>100.86</v>
      </c>
      <c r="L15" s="19" t="s">
        <v>176</v>
      </c>
      <c r="M15" s="18">
        <v>89.433399999999992</v>
      </c>
      <c r="N15" s="6">
        <v>93.74</v>
      </c>
      <c r="O15" s="13" t="s">
        <v>176</v>
      </c>
    </row>
    <row r="16" spans="2:15" ht="14.25" customHeight="1" x14ac:dyDescent="0.3">
      <c r="B16" s="114">
        <v>250</v>
      </c>
      <c r="C16" s="68" t="s">
        <v>181</v>
      </c>
      <c r="D16" s="115" t="s">
        <v>182</v>
      </c>
      <c r="E16" s="115"/>
      <c r="F16" s="116"/>
      <c r="H16" s="52">
        <v>100</v>
      </c>
      <c r="I16" s="120">
        <v>4</v>
      </c>
      <c r="J16" s="35">
        <v>114.3</v>
      </c>
      <c r="K16" s="36">
        <v>113.4</v>
      </c>
      <c r="L16" s="37" t="s">
        <v>176</v>
      </c>
      <c r="M16" s="36">
        <v>101.5492</v>
      </c>
      <c r="N16" s="40">
        <v>106.28</v>
      </c>
      <c r="O16" s="41" t="s">
        <v>176</v>
      </c>
    </row>
    <row r="17" spans="2:14" ht="14.25" customHeight="1" x14ac:dyDescent="0.3">
      <c r="B17" s="12">
        <v>275</v>
      </c>
      <c r="C17" s="6" t="s">
        <v>183</v>
      </c>
      <c r="D17" s="46" t="s">
        <v>184</v>
      </c>
      <c r="E17" s="46"/>
      <c r="F17" s="118"/>
      <c r="J17" s="90"/>
      <c r="K17" s="6"/>
      <c r="L17" s="6"/>
      <c r="M17" s="6"/>
    </row>
    <row r="18" spans="2:14" ht="14.25" customHeight="1" x14ac:dyDescent="0.3">
      <c r="B18" s="114">
        <v>300</v>
      </c>
      <c r="C18" s="68" t="s">
        <v>185</v>
      </c>
      <c r="D18" s="115" t="s">
        <v>186</v>
      </c>
      <c r="E18" s="115"/>
      <c r="F18" s="116"/>
      <c r="J18" s="90"/>
      <c r="K18" s="6"/>
      <c r="L18" s="6"/>
      <c r="M18" s="6"/>
    </row>
    <row r="19" spans="2:14" ht="14.25" customHeight="1" x14ac:dyDescent="0.3">
      <c r="B19" s="52">
        <v>400</v>
      </c>
      <c r="C19" s="40" t="s">
        <v>187</v>
      </c>
      <c r="D19" s="110" t="s">
        <v>188</v>
      </c>
      <c r="E19" s="110"/>
      <c r="F19" s="121"/>
      <c r="J19" s="90"/>
      <c r="K19" s="6"/>
      <c r="L19" s="6"/>
      <c r="M19" s="6"/>
    </row>
    <row r="20" spans="2:14" ht="14.25" customHeight="1" x14ac:dyDescent="0.3">
      <c r="B20" s="6"/>
      <c r="C20" s="6"/>
      <c r="D20" s="46"/>
      <c r="E20" s="6"/>
      <c r="F20" s="6"/>
      <c r="J20" s="90"/>
      <c r="K20" s="6"/>
      <c r="L20" s="6"/>
      <c r="M20" s="6"/>
    </row>
    <row r="21" spans="2:14" ht="14.25" customHeight="1" x14ac:dyDescent="0.3">
      <c r="B21" s="65" t="s">
        <v>189</v>
      </c>
      <c r="C21" s="15"/>
      <c r="D21" s="106"/>
      <c r="E21" s="15" t="s">
        <v>151</v>
      </c>
      <c r="F21" s="16" t="s">
        <v>152</v>
      </c>
      <c r="H21" s="65" t="s">
        <v>118</v>
      </c>
      <c r="I21" s="85"/>
      <c r="J21" s="85"/>
      <c r="K21" s="85"/>
      <c r="L21" s="85"/>
      <c r="M21" s="85"/>
      <c r="N21" s="86"/>
    </row>
    <row r="22" spans="2:14" ht="14.25" customHeight="1" x14ac:dyDescent="0.3">
      <c r="B22" s="114">
        <v>20</v>
      </c>
      <c r="C22" s="68" t="s">
        <v>190</v>
      </c>
      <c r="D22" s="115" t="s">
        <v>191</v>
      </c>
      <c r="E22" s="68"/>
      <c r="F22" s="122"/>
      <c r="H22" s="108" t="s">
        <v>121</v>
      </c>
      <c r="N22" s="70"/>
    </row>
    <row r="23" spans="2:14" ht="14.25" customHeight="1" x14ac:dyDescent="0.3">
      <c r="B23" s="12">
        <v>30</v>
      </c>
      <c r="C23" s="6" t="s">
        <v>49</v>
      </c>
      <c r="D23" s="46" t="s">
        <v>192</v>
      </c>
      <c r="E23" s="6"/>
      <c r="F23" s="13"/>
      <c r="H23" s="12" t="s">
        <v>123</v>
      </c>
      <c r="I23" s="6"/>
      <c r="J23" s="6"/>
      <c r="K23" s="77" t="s">
        <v>124</v>
      </c>
      <c r="L23" s="77"/>
      <c r="N23" s="70"/>
    </row>
    <row r="24" spans="2:14" ht="14.25" customHeight="1" x14ac:dyDescent="0.3">
      <c r="B24" s="114">
        <v>40</v>
      </c>
      <c r="C24" s="68" t="s">
        <v>51</v>
      </c>
      <c r="D24" s="115" t="s">
        <v>193</v>
      </c>
      <c r="E24" s="68"/>
      <c r="F24" s="122"/>
      <c r="H24" s="12" t="s">
        <v>131</v>
      </c>
      <c r="I24" s="6" t="s">
        <v>132</v>
      </c>
      <c r="J24" s="6" t="s">
        <v>125</v>
      </c>
      <c r="K24" s="6" t="s">
        <v>126</v>
      </c>
      <c r="L24" s="6" t="s">
        <v>125</v>
      </c>
      <c r="M24" s="6" t="s">
        <v>133</v>
      </c>
      <c r="N24" s="70"/>
    </row>
    <row r="25" spans="2:14" ht="14.25" customHeight="1" x14ac:dyDescent="0.3">
      <c r="B25" s="12" t="s">
        <v>165</v>
      </c>
      <c r="C25" s="6" t="s">
        <v>194</v>
      </c>
      <c r="D25" s="46" t="s">
        <v>195</v>
      </c>
      <c r="E25" s="6"/>
      <c r="F25" s="13"/>
      <c r="H25" s="31"/>
      <c r="J25" s="6"/>
      <c r="K25" s="6"/>
      <c r="L25" s="6"/>
      <c r="M25" s="6"/>
      <c r="N25" s="70"/>
    </row>
    <row r="26" spans="2:14" ht="14.25" customHeight="1" x14ac:dyDescent="0.3">
      <c r="B26" s="114" t="s">
        <v>168</v>
      </c>
      <c r="C26" s="68" t="s">
        <v>196</v>
      </c>
      <c r="D26" s="115" t="s">
        <v>197</v>
      </c>
      <c r="E26" s="68"/>
      <c r="F26" s="122"/>
      <c r="H26" s="272">
        <v>3</v>
      </c>
      <c r="I26" s="275">
        <v>10</v>
      </c>
      <c r="J26" s="36">
        <f>((H26^2)*PI()/4)*I26</f>
        <v>70.685834705770347</v>
      </c>
      <c r="K26" s="275">
        <v>15</v>
      </c>
      <c r="L26" s="36">
        <f>(K26^2)*PI()/4</f>
        <v>176.71458676442586</v>
      </c>
      <c r="M26" s="101">
        <f>IF(L26&lt;1,"-",J26/L26*100)</f>
        <v>40</v>
      </c>
      <c r="N26" s="290" t="str">
        <f>IF(IF(I26&gt;3, 40, VLOOKUP(I26, H29:K31, 4,FALSE))&gt;=M26,"PASS","FAIL")</f>
        <v>PASS</v>
      </c>
    </row>
    <row r="27" spans="2:14" ht="14.25" customHeight="1" thickBot="1" x14ac:dyDescent="0.35">
      <c r="B27" s="12">
        <v>100</v>
      </c>
      <c r="C27" s="6" t="s">
        <v>198</v>
      </c>
      <c r="D27" s="249" t="s">
        <v>199</v>
      </c>
      <c r="E27" s="6"/>
      <c r="F27" s="13"/>
      <c r="H27" s="6"/>
    </row>
    <row r="28" spans="2:14" ht="14.25" customHeight="1" x14ac:dyDescent="0.3">
      <c r="B28" s="114">
        <v>125</v>
      </c>
      <c r="C28" s="68" t="s">
        <v>200</v>
      </c>
      <c r="D28" s="115" t="s">
        <v>201</v>
      </c>
      <c r="E28" s="68"/>
      <c r="F28" s="122"/>
      <c r="H28" s="152" t="s">
        <v>138</v>
      </c>
      <c r="I28" s="153"/>
      <c r="J28" s="153"/>
      <c r="K28" s="178"/>
    </row>
    <row r="29" spans="2:14" ht="14.25" customHeight="1" x14ac:dyDescent="0.3">
      <c r="B29" s="12">
        <v>150</v>
      </c>
      <c r="C29" s="6" t="s">
        <v>202</v>
      </c>
      <c r="D29" s="249" t="s">
        <v>648</v>
      </c>
      <c r="E29" s="6"/>
      <c r="F29" s="13"/>
      <c r="H29" s="160">
        <v>1</v>
      </c>
      <c r="I29" s="158" t="s">
        <v>139</v>
      </c>
      <c r="J29" s="147"/>
      <c r="K29" s="236">
        <v>53</v>
      </c>
    </row>
    <row r="30" spans="2:14" ht="14.25" customHeight="1" x14ac:dyDescent="0.3">
      <c r="B30" s="114">
        <v>200</v>
      </c>
      <c r="C30" s="68" t="s">
        <v>203</v>
      </c>
      <c r="D30" s="115" t="s">
        <v>204</v>
      </c>
      <c r="E30" s="68"/>
      <c r="F30" s="122"/>
      <c r="H30" s="160">
        <v>2</v>
      </c>
      <c r="I30" s="158" t="s">
        <v>140</v>
      </c>
      <c r="J30" s="147"/>
      <c r="K30" s="236">
        <v>31</v>
      </c>
    </row>
    <row r="31" spans="2:14" ht="14.25" customHeight="1" thickBot="1" x14ac:dyDescent="0.35">
      <c r="B31" s="12">
        <v>225</v>
      </c>
      <c r="C31" s="6" t="s">
        <v>205</v>
      </c>
      <c r="D31" s="46" t="s">
        <v>206</v>
      </c>
      <c r="E31" s="6"/>
      <c r="F31" s="13"/>
      <c r="H31" s="161">
        <v>3</v>
      </c>
      <c r="I31" s="163" t="s">
        <v>141</v>
      </c>
      <c r="J31" s="162"/>
      <c r="K31" s="237">
        <v>40</v>
      </c>
      <c r="L31" s="6"/>
      <c r="M31" s="6"/>
    </row>
    <row r="32" spans="2:14" ht="14.25" customHeight="1" x14ac:dyDescent="0.3">
      <c r="B32" s="114">
        <v>250</v>
      </c>
      <c r="C32" s="68" t="s">
        <v>207</v>
      </c>
      <c r="D32" s="115" t="s">
        <v>208</v>
      </c>
      <c r="E32" s="68"/>
      <c r="F32" s="122"/>
      <c r="H32" s="158"/>
      <c r="I32" s="158"/>
      <c r="J32" s="147"/>
      <c r="K32" s="147"/>
      <c r="L32" s="6"/>
      <c r="M32" s="6"/>
    </row>
    <row r="33" spans="2:16" ht="14.25" customHeight="1" x14ac:dyDescent="0.3">
      <c r="B33" s="12">
        <v>275</v>
      </c>
      <c r="C33" s="6" t="s">
        <v>209</v>
      </c>
      <c r="D33" s="46" t="s">
        <v>210</v>
      </c>
      <c r="E33" s="6"/>
      <c r="F33" s="13"/>
      <c r="J33" s="6"/>
      <c r="K33" s="6"/>
      <c r="L33" s="6"/>
      <c r="M33" s="6"/>
    </row>
    <row r="34" spans="2:16" ht="14.25" customHeight="1" x14ac:dyDescent="0.3">
      <c r="B34" s="114">
        <v>300</v>
      </c>
      <c r="C34" s="68" t="s">
        <v>211</v>
      </c>
      <c r="D34" s="115" t="s">
        <v>212</v>
      </c>
      <c r="E34" s="68"/>
      <c r="F34" s="122"/>
      <c r="J34" s="6"/>
      <c r="K34" s="6"/>
      <c r="L34" s="6"/>
      <c r="M34" s="6"/>
    </row>
    <row r="35" spans="2:16" ht="14.25" customHeight="1" x14ac:dyDescent="0.3">
      <c r="B35" s="52">
        <v>400</v>
      </c>
      <c r="C35" s="40" t="s">
        <v>213</v>
      </c>
      <c r="D35" s="110" t="s">
        <v>214</v>
      </c>
      <c r="E35" s="40"/>
      <c r="F35" s="41"/>
      <c r="H35" s="65" t="s">
        <v>118</v>
      </c>
      <c r="I35" s="85"/>
      <c r="J35" s="85"/>
      <c r="K35" s="85"/>
      <c r="L35" s="85"/>
      <c r="M35" s="85"/>
      <c r="N35" s="15"/>
      <c r="O35" s="15"/>
      <c r="P35" s="16"/>
    </row>
    <row r="36" spans="2:16" ht="14.25" customHeight="1" x14ac:dyDescent="0.3">
      <c r="B36" s="6"/>
      <c r="C36" s="6"/>
      <c r="D36" s="46"/>
      <c r="E36" s="6"/>
      <c r="F36" s="6"/>
      <c r="H36" s="108" t="s">
        <v>142</v>
      </c>
      <c r="I36" s="6"/>
      <c r="J36" s="6"/>
      <c r="K36" s="6"/>
      <c r="N36" s="6"/>
      <c r="O36" s="6"/>
      <c r="P36" s="13"/>
    </row>
    <row r="37" spans="2:16" ht="14.25" customHeight="1" x14ac:dyDescent="0.3">
      <c r="B37" s="65" t="s">
        <v>215</v>
      </c>
      <c r="C37" s="15"/>
      <c r="D37" s="106"/>
      <c r="E37" s="15" t="s">
        <v>151</v>
      </c>
      <c r="F37" s="16" t="s">
        <v>152</v>
      </c>
      <c r="H37" s="12" t="s">
        <v>123</v>
      </c>
      <c r="I37" s="6"/>
      <c r="J37" s="6"/>
      <c r="K37" s="6"/>
      <c r="L37" s="6"/>
      <c r="M37" s="6"/>
      <c r="N37" s="6"/>
      <c r="O37" s="6"/>
      <c r="P37" s="13"/>
    </row>
    <row r="38" spans="2:16" ht="14.25" customHeight="1" x14ac:dyDescent="0.3">
      <c r="B38" s="114">
        <v>20</v>
      </c>
      <c r="C38" s="68" t="s">
        <v>216</v>
      </c>
      <c r="D38" s="115" t="s">
        <v>217</v>
      </c>
      <c r="E38" s="68"/>
      <c r="F38" s="122"/>
      <c r="H38" s="12" t="s">
        <v>131</v>
      </c>
      <c r="I38" s="6" t="s">
        <v>132</v>
      </c>
      <c r="J38" s="6" t="s">
        <v>143</v>
      </c>
      <c r="K38" s="6" t="s">
        <v>125</v>
      </c>
      <c r="L38" s="6" t="s">
        <v>109</v>
      </c>
      <c r="M38" s="6" t="s">
        <v>144</v>
      </c>
      <c r="N38" s="6" t="s">
        <v>125</v>
      </c>
      <c r="O38" s="6" t="s">
        <v>133</v>
      </c>
      <c r="P38" s="13" t="s">
        <v>145</v>
      </c>
    </row>
    <row r="39" spans="2:16" ht="14.25" customHeight="1" x14ac:dyDescent="0.3">
      <c r="B39" s="12">
        <v>30</v>
      </c>
      <c r="C39" s="6" t="s">
        <v>50</v>
      </c>
      <c r="D39" s="46" t="s">
        <v>218</v>
      </c>
      <c r="E39" s="6"/>
      <c r="F39" s="13"/>
      <c r="H39" s="12"/>
      <c r="I39" s="6"/>
      <c r="J39" s="6"/>
      <c r="K39" s="6"/>
      <c r="L39" s="6"/>
      <c r="M39" s="6"/>
      <c r="N39" s="6"/>
      <c r="O39" s="6"/>
      <c r="P39" s="13"/>
    </row>
    <row r="40" spans="2:16" ht="14.25" customHeight="1" x14ac:dyDescent="0.3">
      <c r="B40" s="114">
        <v>40</v>
      </c>
      <c r="C40" s="68" t="s">
        <v>52</v>
      </c>
      <c r="D40" s="115" t="s">
        <v>219</v>
      </c>
      <c r="E40" s="68"/>
      <c r="F40" s="122"/>
      <c r="H40" s="272">
        <v>27.9</v>
      </c>
      <c r="I40" s="275">
        <v>16</v>
      </c>
      <c r="J40" s="275"/>
      <c r="K40" s="36">
        <f>(((H40^2)*PI()/4)*I40)+((J40^2)*PI()/4)</f>
        <v>9781.7885499233234</v>
      </c>
      <c r="L40" s="275">
        <v>400</v>
      </c>
      <c r="M40" s="275">
        <v>150</v>
      </c>
      <c r="N40" s="40">
        <f>L40*M40</f>
        <v>60000</v>
      </c>
      <c r="O40" s="43">
        <f>IF(N40&lt;=0,"-",(K40/N40)*100)</f>
        <v>16.302980916538871</v>
      </c>
      <c r="P40" s="290" t="str">
        <f>IF(O40&lt;=20, "PASS", "FAIL")</f>
        <v>PASS</v>
      </c>
    </row>
    <row r="41" spans="2:16" ht="14.25" customHeight="1" x14ac:dyDescent="0.3">
      <c r="B41" s="12" t="s">
        <v>165</v>
      </c>
      <c r="C41" s="6" t="s">
        <v>220</v>
      </c>
      <c r="D41" s="46" t="s">
        <v>221</v>
      </c>
      <c r="E41" s="6"/>
      <c r="F41" s="13"/>
      <c r="J41" s="6"/>
      <c r="K41" s="6"/>
      <c r="L41" s="6"/>
      <c r="M41" s="6"/>
    </row>
    <row r="42" spans="2:16" ht="14.25" customHeight="1" x14ac:dyDescent="0.3">
      <c r="B42" s="114" t="s">
        <v>168</v>
      </c>
      <c r="C42" s="68" t="s">
        <v>222</v>
      </c>
      <c r="D42" s="115" t="s">
        <v>223</v>
      </c>
      <c r="E42" s="68"/>
      <c r="F42" s="122"/>
      <c r="J42" s="6"/>
      <c r="K42" s="6"/>
      <c r="L42" s="6"/>
      <c r="M42" s="6"/>
    </row>
    <row r="43" spans="2:16" ht="14.25" customHeight="1" x14ac:dyDescent="0.3">
      <c r="B43" s="12">
        <v>100</v>
      </c>
      <c r="C43" s="6" t="s">
        <v>224</v>
      </c>
      <c r="D43" s="46" t="s">
        <v>225</v>
      </c>
      <c r="E43" s="6"/>
      <c r="F43" s="13"/>
      <c r="H43" t="s">
        <v>226</v>
      </c>
      <c r="I43" s="46" t="s">
        <v>227</v>
      </c>
      <c r="J43" s="6"/>
      <c r="K43" s="6"/>
      <c r="L43" s="6"/>
      <c r="M43" s="6"/>
    </row>
    <row r="44" spans="2:16" ht="14.25" customHeight="1" x14ac:dyDescent="0.3">
      <c r="B44" s="114">
        <v>125</v>
      </c>
      <c r="C44" s="68" t="s">
        <v>228</v>
      </c>
      <c r="D44" s="115" t="s">
        <v>229</v>
      </c>
      <c r="E44" s="68"/>
      <c r="F44" s="122"/>
      <c r="H44" t="s">
        <v>230</v>
      </c>
      <c r="I44" s="46" t="s">
        <v>231</v>
      </c>
      <c r="J44" s="6"/>
      <c r="K44" s="6"/>
      <c r="L44" s="6"/>
      <c r="M44" s="6"/>
    </row>
    <row r="45" spans="2:16" ht="14.25" customHeight="1" x14ac:dyDescent="0.3">
      <c r="B45" s="12">
        <v>150</v>
      </c>
      <c r="C45" s="6" t="s">
        <v>232</v>
      </c>
      <c r="D45" s="249" t="s">
        <v>650</v>
      </c>
      <c r="E45" s="6"/>
      <c r="F45" s="13"/>
      <c r="H45" t="s">
        <v>233</v>
      </c>
      <c r="I45" s="46" t="s">
        <v>231</v>
      </c>
      <c r="J45" s="6"/>
      <c r="K45" s="6"/>
      <c r="L45" s="6"/>
      <c r="M45" s="6"/>
    </row>
    <row r="46" spans="2:16" ht="14.25" customHeight="1" x14ac:dyDescent="0.3">
      <c r="B46" s="114">
        <v>200</v>
      </c>
      <c r="C46" s="68" t="s">
        <v>234</v>
      </c>
      <c r="D46" s="115" t="s">
        <v>235</v>
      </c>
      <c r="E46" s="68"/>
      <c r="F46" s="122"/>
      <c r="H46" t="s">
        <v>236</v>
      </c>
      <c r="I46" s="46" t="s">
        <v>237</v>
      </c>
      <c r="J46" s="6"/>
      <c r="K46" s="6"/>
      <c r="L46" s="6"/>
      <c r="M46" s="6"/>
    </row>
    <row r="47" spans="2:16" ht="14.25" customHeight="1" x14ac:dyDescent="0.3">
      <c r="B47" s="12">
        <v>225</v>
      </c>
      <c r="C47" s="6" t="s">
        <v>238</v>
      </c>
      <c r="D47" s="46" t="s">
        <v>239</v>
      </c>
      <c r="E47" s="6"/>
      <c r="F47" s="13"/>
      <c r="H47" t="s">
        <v>240</v>
      </c>
      <c r="I47" s="46" t="s">
        <v>241</v>
      </c>
      <c r="J47" s="6"/>
      <c r="K47" s="6"/>
      <c r="L47" s="6"/>
      <c r="M47" s="6"/>
    </row>
    <row r="48" spans="2:16" ht="14.25" customHeight="1" x14ac:dyDescent="0.3">
      <c r="B48" s="114">
        <v>250</v>
      </c>
      <c r="C48" s="68" t="s">
        <v>242</v>
      </c>
      <c r="D48" s="115" t="s">
        <v>243</v>
      </c>
      <c r="E48" s="68"/>
      <c r="F48" s="122"/>
      <c r="H48" t="s">
        <v>244</v>
      </c>
      <c r="I48" s="46" t="s">
        <v>241</v>
      </c>
      <c r="J48" s="6"/>
      <c r="K48" s="6"/>
      <c r="L48" s="6"/>
      <c r="M48" s="6"/>
    </row>
    <row r="49" spans="2:13" ht="14.25" customHeight="1" x14ac:dyDescent="0.3">
      <c r="B49" s="12">
        <v>275</v>
      </c>
      <c r="C49" s="6" t="s">
        <v>245</v>
      </c>
      <c r="D49" s="46" t="s">
        <v>246</v>
      </c>
      <c r="E49" s="6"/>
      <c r="F49" s="13"/>
      <c r="H49" t="s">
        <v>247</v>
      </c>
      <c r="I49" s="46" t="s">
        <v>248</v>
      </c>
      <c r="J49" s="6"/>
      <c r="K49" s="6"/>
      <c r="L49" s="6"/>
      <c r="M49" s="6"/>
    </row>
    <row r="50" spans="2:13" ht="14.25" customHeight="1" x14ac:dyDescent="0.3">
      <c r="B50" s="114">
        <v>300</v>
      </c>
      <c r="C50" s="68" t="s">
        <v>249</v>
      </c>
      <c r="D50" s="115" t="s">
        <v>250</v>
      </c>
      <c r="E50" s="68"/>
      <c r="F50" s="122"/>
      <c r="H50" t="s">
        <v>251</v>
      </c>
      <c r="I50" s="46" t="s">
        <v>248</v>
      </c>
      <c r="J50" s="6"/>
      <c r="K50" s="6"/>
      <c r="L50" s="6"/>
      <c r="M50" s="6"/>
    </row>
    <row r="51" spans="2:13" ht="14.25" customHeight="1" x14ac:dyDescent="0.3">
      <c r="B51" s="52">
        <v>400</v>
      </c>
      <c r="C51" s="40" t="s">
        <v>252</v>
      </c>
      <c r="D51" s="110" t="s">
        <v>253</v>
      </c>
      <c r="E51" s="40"/>
      <c r="F51" s="41"/>
      <c r="H51" t="s">
        <v>254</v>
      </c>
      <c r="I51" s="46" t="s">
        <v>248</v>
      </c>
      <c r="J51" s="6"/>
      <c r="K51" s="6"/>
      <c r="L51" s="6"/>
      <c r="M51" s="6"/>
    </row>
    <row r="52" spans="2:13" ht="14.25" customHeight="1" x14ac:dyDescent="0.3">
      <c r="B52" s="6"/>
      <c r="C52" s="6"/>
      <c r="D52" s="46"/>
      <c r="E52" s="6"/>
      <c r="F52" s="6"/>
      <c r="H52" t="s">
        <v>255</v>
      </c>
      <c r="I52" s="46" t="s">
        <v>256</v>
      </c>
      <c r="J52" s="6"/>
      <c r="K52" s="6"/>
      <c r="L52" s="6"/>
      <c r="M52" s="6"/>
    </row>
    <row r="53" spans="2:13" ht="14.25" customHeight="1" x14ac:dyDescent="0.3">
      <c r="B53" s="65" t="s">
        <v>257</v>
      </c>
      <c r="C53" s="15"/>
      <c r="D53" s="106"/>
      <c r="E53" s="15" t="s">
        <v>151</v>
      </c>
      <c r="F53" s="16" t="s">
        <v>152</v>
      </c>
      <c r="H53" t="s">
        <v>258</v>
      </c>
      <c r="I53" s="46" t="s">
        <v>256</v>
      </c>
      <c r="J53" s="6"/>
      <c r="K53" s="6"/>
      <c r="L53" s="6"/>
      <c r="M53" s="6"/>
    </row>
    <row r="54" spans="2:13" ht="14.25" customHeight="1" x14ac:dyDescent="0.3">
      <c r="B54" s="114">
        <v>20</v>
      </c>
      <c r="C54" s="68" t="s">
        <v>259</v>
      </c>
      <c r="D54" s="115" t="s">
        <v>260</v>
      </c>
      <c r="E54" s="68"/>
      <c r="F54" s="122"/>
      <c r="H54" t="s">
        <v>261</v>
      </c>
      <c r="I54" s="46" t="s">
        <v>262</v>
      </c>
      <c r="J54" s="6"/>
      <c r="K54" s="6"/>
      <c r="L54" s="6"/>
      <c r="M54" s="6"/>
    </row>
    <row r="55" spans="2:13" ht="14.25" customHeight="1" x14ac:dyDescent="0.3">
      <c r="B55" s="12">
        <v>30</v>
      </c>
      <c r="C55" s="6" t="s">
        <v>263</v>
      </c>
      <c r="D55" s="46" t="s">
        <v>264</v>
      </c>
      <c r="E55" s="6"/>
      <c r="F55" s="13"/>
      <c r="H55" t="s">
        <v>265</v>
      </c>
      <c r="I55" s="46" t="s">
        <v>262</v>
      </c>
      <c r="J55" s="6"/>
      <c r="K55" s="6"/>
      <c r="L55" s="6"/>
      <c r="M55" s="6"/>
    </row>
    <row r="56" spans="2:13" ht="14.25" customHeight="1" x14ac:dyDescent="0.3">
      <c r="B56" s="114">
        <v>40</v>
      </c>
      <c r="C56" s="68" t="s">
        <v>266</v>
      </c>
      <c r="D56" s="115" t="s">
        <v>267</v>
      </c>
      <c r="E56" s="68"/>
      <c r="F56" s="122"/>
      <c r="H56" t="s">
        <v>268</v>
      </c>
      <c r="I56" s="46" t="s">
        <v>269</v>
      </c>
      <c r="J56" s="6"/>
      <c r="K56" s="6"/>
      <c r="L56" s="6"/>
      <c r="M56" s="6"/>
    </row>
    <row r="57" spans="2:13" ht="14.25" customHeight="1" x14ac:dyDescent="0.3">
      <c r="B57" s="12" t="s">
        <v>165</v>
      </c>
      <c r="C57" s="6" t="s">
        <v>270</v>
      </c>
      <c r="D57" s="46" t="s">
        <v>271</v>
      </c>
      <c r="E57" s="6"/>
      <c r="F57" s="13"/>
      <c r="J57" s="6"/>
      <c r="K57" s="6"/>
      <c r="L57" s="6"/>
      <c r="M57" s="6"/>
    </row>
    <row r="58" spans="2:13" ht="14.25" customHeight="1" x14ac:dyDescent="0.3">
      <c r="B58" s="114" t="s">
        <v>168</v>
      </c>
      <c r="C58" s="68" t="s">
        <v>272</v>
      </c>
      <c r="D58" s="115" t="s">
        <v>273</v>
      </c>
      <c r="E58" s="68"/>
      <c r="F58" s="122"/>
      <c r="J58" s="6"/>
      <c r="K58" s="6"/>
      <c r="L58" s="6"/>
      <c r="M58" s="6"/>
    </row>
    <row r="59" spans="2:13" ht="14.25" customHeight="1" x14ac:dyDescent="0.3">
      <c r="B59" s="12">
        <v>100</v>
      </c>
      <c r="C59" s="6" t="s">
        <v>274</v>
      </c>
      <c r="D59" s="46" t="s">
        <v>275</v>
      </c>
      <c r="E59" s="6"/>
      <c r="F59" s="13"/>
      <c r="J59" s="6"/>
      <c r="K59" s="6"/>
      <c r="L59" s="6"/>
      <c r="M59" s="6"/>
    </row>
    <row r="60" spans="2:13" ht="14.25" customHeight="1" x14ac:dyDescent="0.3">
      <c r="B60" s="114">
        <v>125</v>
      </c>
      <c r="C60" s="68" t="s">
        <v>276</v>
      </c>
      <c r="D60" s="115" t="s">
        <v>277</v>
      </c>
      <c r="E60" s="68"/>
      <c r="F60" s="122"/>
      <c r="J60" s="6"/>
      <c r="K60" s="6"/>
      <c r="L60" s="6"/>
      <c r="M60" s="6"/>
    </row>
    <row r="61" spans="2:13" ht="14.25" customHeight="1" x14ac:dyDescent="0.3">
      <c r="B61" s="12">
        <v>150</v>
      </c>
      <c r="C61" s="6" t="s">
        <v>278</v>
      </c>
      <c r="D61" s="249" t="s">
        <v>651</v>
      </c>
      <c r="E61" s="6"/>
      <c r="F61" s="13"/>
      <c r="J61" s="6"/>
      <c r="K61" s="6"/>
      <c r="L61" s="6"/>
      <c r="M61" s="6"/>
    </row>
    <row r="62" spans="2:13" ht="14.25" customHeight="1" x14ac:dyDescent="0.3">
      <c r="B62" s="114">
        <v>200</v>
      </c>
      <c r="C62" s="68" t="s">
        <v>279</v>
      </c>
      <c r="D62" s="115" t="s">
        <v>280</v>
      </c>
      <c r="E62" s="68"/>
      <c r="F62" s="122"/>
      <c r="J62" s="6"/>
      <c r="K62" s="6"/>
      <c r="L62" s="6"/>
      <c r="M62" s="6"/>
    </row>
    <row r="63" spans="2:13" ht="14.25" customHeight="1" x14ac:dyDescent="0.3">
      <c r="B63" s="12">
        <v>225</v>
      </c>
      <c r="C63" s="6" t="s">
        <v>281</v>
      </c>
      <c r="D63" s="46" t="s">
        <v>282</v>
      </c>
      <c r="E63" s="6"/>
      <c r="F63" s="13"/>
      <c r="J63" s="6"/>
      <c r="K63" s="6"/>
      <c r="L63" s="6"/>
      <c r="M63" s="6"/>
    </row>
    <row r="64" spans="2:13" ht="14.25" customHeight="1" x14ac:dyDescent="0.3">
      <c r="B64" s="114">
        <v>250</v>
      </c>
      <c r="C64" s="68" t="s">
        <v>283</v>
      </c>
      <c r="D64" s="115" t="s">
        <v>284</v>
      </c>
      <c r="E64" s="68"/>
      <c r="F64" s="122"/>
      <c r="J64" s="6"/>
      <c r="K64" s="6"/>
      <c r="L64" s="6"/>
      <c r="M64" s="6"/>
    </row>
    <row r="65" spans="2:13" ht="14.25" customHeight="1" x14ac:dyDescent="0.3">
      <c r="B65" s="12">
        <v>275</v>
      </c>
      <c r="C65" s="6" t="s">
        <v>285</v>
      </c>
      <c r="D65" s="46" t="s">
        <v>286</v>
      </c>
      <c r="E65" s="6"/>
      <c r="F65" s="13"/>
      <c r="J65" s="6"/>
      <c r="K65" s="6"/>
      <c r="L65" s="6"/>
      <c r="M65" s="6"/>
    </row>
    <row r="66" spans="2:13" ht="14.25" customHeight="1" x14ac:dyDescent="0.3">
      <c r="B66" s="114">
        <v>300</v>
      </c>
      <c r="C66" s="68" t="s">
        <v>287</v>
      </c>
      <c r="D66" s="115" t="s">
        <v>288</v>
      </c>
      <c r="E66" s="68"/>
      <c r="F66" s="122"/>
      <c r="J66" s="6"/>
      <c r="K66" s="6"/>
      <c r="L66" s="6"/>
      <c r="M66" s="6"/>
    </row>
    <row r="67" spans="2:13" ht="14.25" customHeight="1" x14ac:dyDescent="0.3">
      <c r="B67" s="52">
        <v>400</v>
      </c>
      <c r="C67" s="40" t="s">
        <v>289</v>
      </c>
      <c r="D67" s="110" t="s">
        <v>290</v>
      </c>
      <c r="E67" s="40"/>
      <c r="F67" s="41"/>
      <c r="J67" s="6"/>
      <c r="K67" s="6"/>
      <c r="L67" s="6"/>
      <c r="M67" s="6"/>
    </row>
    <row r="68" spans="2:13" ht="14.25" customHeight="1" x14ac:dyDescent="0.3">
      <c r="B68" s="6"/>
      <c r="C68" s="6"/>
      <c r="D68" s="46"/>
      <c r="E68" s="6"/>
      <c r="F68" s="6"/>
      <c r="J68" s="6"/>
      <c r="K68" s="6"/>
      <c r="L68" s="6"/>
      <c r="M68" s="6"/>
    </row>
    <row r="69" spans="2:13" ht="14.25" customHeight="1" x14ac:dyDescent="0.3">
      <c r="B69" s="65" t="s">
        <v>291</v>
      </c>
      <c r="C69" s="15"/>
      <c r="D69" s="106"/>
      <c r="E69" s="15" t="s">
        <v>151</v>
      </c>
      <c r="F69" s="16" t="s">
        <v>152</v>
      </c>
      <c r="J69" s="6"/>
      <c r="K69" s="6"/>
      <c r="L69" s="6"/>
      <c r="M69" s="6"/>
    </row>
    <row r="70" spans="2:13" ht="14.25" customHeight="1" x14ac:dyDescent="0.3">
      <c r="B70" s="114">
        <v>20</v>
      </c>
      <c r="C70" s="68" t="s">
        <v>292</v>
      </c>
      <c r="D70" s="115" t="s">
        <v>293</v>
      </c>
      <c r="E70" s="68"/>
      <c r="F70" s="122"/>
      <c r="J70" s="6"/>
      <c r="K70" s="6"/>
      <c r="L70" s="6"/>
      <c r="M70" s="6"/>
    </row>
    <row r="71" spans="2:13" ht="14.25" customHeight="1" x14ac:dyDescent="0.3">
      <c r="B71" s="12">
        <v>30</v>
      </c>
      <c r="C71" s="6" t="s">
        <v>294</v>
      </c>
      <c r="D71" s="46" t="s">
        <v>295</v>
      </c>
      <c r="E71" s="6"/>
      <c r="F71" s="13"/>
      <c r="J71" s="6"/>
      <c r="K71" s="6"/>
      <c r="L71" s="6"/>
      <c r="M71" s="6"/>
    </row>
    <row r="72" spans="2:13" ht="14.25" customHeight="1" x14ac:dyDescent="0.3">
      <c r="B72" s="114">
        <v>40</v>
      </c>
      <c r="C72" s="68" t="s">
        <v>296</v>
      </c>
      <c r="D72" s="115" t="s">
        <v>297</v>
      </c>
      <c r="E72" s="68"/>
      <c r="F72" s="122"/>
      <c r="J72" s="6"/>
      <c r="K72" s="6"/>
      <c r="L72" s="6"/>
      <c r="M72" s="6"/>
    </row>
    <row r="73" spans="2:13" ht="14.25" customHeight="1" x14ac:dyDescent="0.3">
      <c r="B73" s="12" t="s">
        <v>165</v>
      </c>
      <c r="C73" s="6" t="s">
        <v>298</v>
      </c>
      <c r="D73" s="46" t="s">
        <v>299</v>
      </c>
      <c r="E73" s="6"/>
      <c r="F73" s="13"/>
      <c r="J73" s="6"/>
      <c r="K73" s="6"/>
      <c r="L73" s="6"/>
      <c r="M73" s="6"/>
    </row>
    <row r="74" spans="2:13" ht="14.25" customHeight="1" x14ac:dyDescent="0.3">
      <c r="B74" s="114" t="s">
        <v>168</v>
      </c>
      <c r="C74" s="68" t="s">
        <v>300</v>
      </c>
      <c r="D74" s="115" t="s">
        <v>301</v>
      </c>
      <c r="E74" s="68"/>
      <c r="F74" s="122"/>
      <c r="J74" s="6"/>
      <c r="K74" s="6"/>
      <c r="L74" s="6"/>
      <c r="M74" s="6"/>
    </row>
    <row r="75" spans="2:13" ht="14.25" customHeight="1" x14ac:dyDescent="0.3">
      <c r="B75" s="12">
        <v>100</v>
      </c>
      <c r="C75" s="6" t="s">
        <v>302</v>
      </c>
      <c r="D75" s="46" t="s">
        <v>303</v>
      </c>
      <c r="E75" s="6"/>
      <c r="F75" s="13"/>
      <c r="J75" s="6"/>
      <c r="K75" s="6"/>
      <c r="L75" s="6"/>
      <c r="M75" s="6"/>
    </row>
    <row r="76" spans="2:13" ht="14.25" customHeight="1" x14ac:dyDescent="0.3">
      <c r="B76" s="114">
        <v>125</v>
      </c>
      <c r="C76" s="68" t="s">
        <v>304</v>
      </c>
      <c r="D76" s="115" t="s">
        <v>305</v>
      </c>
      <c r="E76" s="68"/>
      <c r="F76" s="122"/>
      <c r="J76" s="6"/>
      <c r="K76" s="6"/>
      <c r="L76" s="6"/>
      <c r="M76" s="6"/>
    </row>
    <row r="77" spans="2:13" ht="14.25" customHeight="1" x14ac:dyDescent="0.3">
      <c r="B77" s="12">
        <v>150</v>
      </c>
      <c r="C77" s="6" t="s">
        <v>306</v>
      </c>
      <c r="D77" s="249" t="s">
        <v>652</v>
      </c>
      <c r="E77" s="6"/>
      <c r="F77" s="13"/>
      <c r="J77" s="6"/>
      <c r="K77" s="6"/>
      <c r="L77" s="6"/>
      <c r="M77" s="6"/>
    </row>
    <row r="78" spans="2:13" ht="14.25" customHeight="1" x14ac:dyDescent="0.3">
      <c r="B78" s="114">
        <v>200</v>
      </c>
      <c r="C78" s="68" t="s">
        <v>307</v>
      </c>
      <c r="D78" s="115" t="s">
        <v>308</v>
      </c>
      <c r="E78" s="68"/>
      <c r="F78" s="122"/>
      <c r="J78" s="6"/>
      <c r="K78" s="6"/>
      <c r="L78" s="6"/>
      <c r="M78" s="6"/>
    </row>
    <row r="79" spans="2:13" ht="14.25" customHeight="1" x14ac:dyDescent="0.3">
      <c r="B79" s="12">
        <v>225</v>
      </c>
      <c r="C79" s="6" t="s">
        <v>309</v>
      </c>
      <c r="D79" s="46" t="s">
        <v>310</v>
      </c>
      <c r="E79" s="6"/>
      <c r="F79" s="13"/>
      <c r="J79" s="6"/>
      <c r="K79" s="6"/>
      <c r="L79" s="6"/>
      <c r="M79" s="6"/>
    </row>
    <row r="80" spans="2:13" ht="14.25" customHeight="1" x14ac:dyDescent="0.3">
      <c r="B80" s="114">
        <v>250</v>
      </c>
      <c r="C80" s="68" t="s">
        <v>311</v>
      </c>
      <c r="D80" s="115" t="s">
        <v>312</v>
      </c>
      <c r="E80" s="68"/>
      <c r="F80" s="122"/>
      <c r="J80" s="6"/>
      <c r="K80" s="6"/>
      <c r="L80" s="6"/>
      <c r="M80" s="6"/>
    </row>
    <row r="81" spans="2:13" ht="14.25" customHeight="1" x14ac:dyDescent="0.3">
      <c r="B81" s="12">
        <v>275</v>
      </c>
      <c r="C81" s="6" t="s">
        <v>313</v>
      </c>
      <c r="D81" s="46" t="s">
        <v>314</v>
      </c>
      <c r="E81" s="6"/>
      <c r="F81" s="13"/>
      <c r="J81" s="6"/>
      <c r="K81" s="6"/>
      <c r="L81" s="6"/>
      <c r="M81" s="6"/>
    </row>
    <row r="82" spans="2:13" ht="14.25" customHeight="1" x14ac:dyDescent="0.3">
      <c r="B82" s="114">
        <v>300</v>
      </c>
      <c r="C82" s="68" t="s">
        <v>315</v>
      </c>
      <c r="D82" s="115" t="s">
        <v>316</v>
      </c>
      <c r="E82" s="68"/>
      <c r="F82" s="122"/>
      <c r="J82" s="6"/>
      <c r="K82" s="6"/>
      <c r="L82" s="6"/>
      <c r="M82" s="6"/>
    </row>
    <row r="83" spans="2:13" ht="14.25" customHeight="1" x14ac:dyDescent="0.3">
      <c r="B83" s="52">
        <v>400</v>
      </c>
      <c r="C83" s="40" t="s">
        <v>317</v>
      </c>
      <c r="D83" s="110" t="s">
        <v>318</v>
      </c>
      <c r="E83" s="40"/>
      <c r="F83" s="41"/>
      <c r="J83" s="6"/>
      <c r="K83" s="6"/>
      <c r="L83" s="6"/>
      <c r="M83" s="6"/>
    </row>
    <row r="84" spans="2:13" ht="14.25" customHeight="1" x14ac:dyDescent="0.3">
      <c r="B84" s="6"/>
      <c r="C84" s="6"/>
      <c r="D84" s="46"/>
      <c r="E84" s="77"/>
      <c r="F84" s="77"/>
      <c r="J84" s="6"/>
      <c r="K84" s="6"/>
      <c r="L84" s="6"/>
      <c r="M84" s="6"/>
    </row>
    <row r="85" spans="2:13" ht="14.25" customHeight="1" x14ac:dyDescent="0.3">
      <c r="B85" s="65" t="s">
        <v>319</v>
      </c>
      <c r="C85" s="15"/>
      <c r="D85" s="106"/>
      <c r="E85" s="15" t="s">
        <v>151</v>
      </c>
      <c r="F85" s="16" t="s">
        <v>152</v>
      </c>
      <c r="J85" s="6"/>
      <c r="K85" s="6"/>
      <c r="L85" s="6"/>
      <c r="M85" s="6"/>
    </row>
    <row r="86" spans="2:13" ht="14.25" customHeight="1" x14ac:dyDescent="0.3">
      <c r="B86" s="114">
        <v>125</v>
      </c>
      <c r="C86" s="68" t="s">
        <v>320</v>
      </c>
      <c r="D86" s="115" t="s">
        <v>321</v>
      </c>
      <c r="E86" s="366" t="s">
        <v>322</v>
      </c>
      <c r="F86" s="357"/>
      <c r="J86" s="6"/>
      <c r="K86" s="6"/>
      <c r="L86" s="6"/>
      <c r="M86" s="6"/>
    </row>
    <row r="87" spans="2:13" ht="14.25" customHeight="1" x14ac:dyDescent="0.3">
      <c r="B87" s="12">
        <v>150</v>
      </c>
      <c r="C87" s="6" t="s">
        <v>323</v>
      </c>
      <c r="D87" s="46" t="s">
        <v>324</v>
      </c>
      <c r="E87" s="360" t="s">
        <v>322</v>
      </c>
      <c r="F87" s="351"/>
      <c r="J87" s="6"/>
      <c r="K87" s="6"/>
      <c r="L87" s="6"/>
      <c r="M87" s="6"/>
    </row>
    <row r="88" spans="2:13" ht="14.25" customHeight="1" x14ac:dyDescent="0.3">
      <c r="B88" s="114">
        <v>175</v>
      </c>
      <c r="C88" s="68" t="s">
        <v>325</v>
      </c>
      <c r="D88" s="115" t="s">
        <v>326</v>
      </c>
      <c r="E88" s="366" t="s">
        <v>327</v>
      </c>
      <c r="F88" s="357"/>
      <c r="J88" s="6"/>
      <c r="K88" s="6"/>
      <c r="L88" s="6"/>
      <c r="M88" s="6"/>
    </row>
    <row r="89" spans="2:13" ht="14.25" customHeight="1" x14ac:dyDescent="0.3">
      <c r="B89" s="12">
        <v>200</v>
      </c>
      <c r="C89" s="6" t="s">
        <v>328</v>
      </c>
      <c r="D89" s="46" t="s">
        <v>329</v>
      </c>
      <c r="E89" s="360" t="s">
        <v>330</v>
      </c>
      <c r="F89" s="351"/>
      <c r="J89" s="6"/>
      <c r="K89" s="6"/>
      <c r="L89" s="6"/>
      <c r="M89" s="6"/>
    </row>
    <row r="90" spans="2:13" ht="14.25" customHeight="1" x14ac:dyDescent="0.3">
      <c r="B90" s="114">
        <v>250</v>
      </c>
      <c r="C90" s="68" t="s">
        <v>331</v>
      </c>
      <c r="D90" s="115" t="s">
        <v>332</v>
      </c>
      <c r="E90" s="366" t="s">
        <v>330</v>
      </c>
      <c r="F90" s="357"/>
      <c r="J90" s="6"/>
      <c r="K90" s="6"/>
      <c r="L90" s="6"/>
      <c r="M90" s="6"/>
    </row>
    <row r="91" spans="2:13" ht="14.25" customHeight="1" x14ac:dyDescent="0.3">
      <c r="B91" s="12">
        <v>300</v>
      </c>
      <c r="C91" s="6" t="s">
        <v>333</v>
      </c>
      <c r="D91" s="46" t="s">
        <v>334</v>
      </c>
      <c r="E91" s="360" t="s">
        <v>330</v>
      </c>
      <c r="F91" s="351"/>
      <c r="J91" s="6"/>
      <c r="K91" s="6"/>
      <c r="L91" s="6"/>
      <c r="M91" s="6"/>
    </row>
    <row r="92" spans="2:13" ht="14.25" customHeight="1" x14ac:dyDescent="0.3">
      <c r="B92" s="114">
        <v>400</v>
      </c>
      <c r="C92" s="68" t="s">
        <v>335</v>
      </c>
      <c r="D92" s="115" t="s">
        <v>336</v>
      </c>
      <c r="E92" s="366" t="s">
        <v>337</v>
      </c>
      <c r="F92" s="357"/>
      <c r="J92" s="6"/>
      <c r="K92" s="6"/>
      <c r="L92" s="6"/>
      <c r="M92" s="6"/>
    </row>
    <row r="93" spans="2:13" ht="14.25" customHeight="1" x14ac:dyDescent="0.3">
      <c r="B93" s="52">
        <v>600</v>
      </c>
      <c r="C93" s="40" t="s">
        <v>338</v>
      </c>
      <c r="D93" s="110" t="s">
        <v>339</v>
      </c>
      <c r="E93" s="367" t="s">
        <v>337</v>
      </c>
      <c r="F93" s="359"/>
      <c r="J93" s="6"/>
      <c r="K93" s="6"/>
      <c r="L93" s="6"/>
      <c r="M93" s="6"/>
    </row>
    <row r="94" spans="2:13" ht="14.25" customHeight="1" x14ac:dyDescent="0.3">
      <c r="B94" s="6"/>
      <c r="C94" s="6"/>
      <c r="D94" s="46"/>
      <c r="E94" s="6"/>
      <c r="F94" s="6"/>
      <c r="J94" s="6"/>
      <c r="K94" s="6"/>
      <c r="L94" s="6"/>
      <c r="M94" s="6"/>
    </row>
    <row r="95" spans="2:13" ht="14.25" customHeight="1" x14ac:dyDescent="0.3">
      <c r="B95" s="65" t="s">
        <v>340</v>
      </c>
      <c r="C95" s="15"/>
      <c r="D95" s="106"/>
      <c r="E95" s="15" t="s">
        <v>151</v>
      </c>
      <c r="F95" s="16" t="s">
        <v>152</v>
      </c>
      <c r="J95" s="6"/>
      <c r="K95" s="6"/>
      <c r="L95" s="6"/>
      <c r="M95" s="6"/>
    </row>
    <row r="96" spans="2:13" ht="14.25" customHeight="1" x14ac:dyDescent="0.3">
      <c r="B96" s="114">
        <v>125</v>
      </c>
      <c r="C96" s="68" t="s">
        <v>341</v>
      </c>
      <c r="D96" s="115" t="s">
        <v>342</v>
      </c>
      <c r="E96" s="366" t="s">
        <v>322</v>
      </c>
      <c r="F96" s="357"/>
      <c r="J96" s="6"/>
      <c r="K96" s="6"/>
      <c r="L96" s="6"/>
      <c r="M96" s="6"/>
    </row>
    <row r="97" spans="2:13" ht="14.25" customHeight="1" x14ac:dyDescent="0.3">
      <c r="B97" s="12">
        <v>150</v>
      </c>
      <c r="C97" s="6" t="s">
        <v>343</v>
      </c>
      <c r="D97" s="46" t="s">
        <v>344</v>
      </c>
      <c r="E97" s="360" t="s">
        <v>322</v>
      </c>
      <c r="F97" s="351"/>
      <c r="J97" s="6"/>
      <c r="K97" s="6"/>
      <c r="L97" s="6"/>
      <c r="M97" s="6"/>
    </row>
    <row r="98" spans="2:13" ht="14.25" customHeight="1" x14ac:dyDescent="0.3">
      <c r="B98" s="114">
        <v>175</v>
      </c>
      <c r="C98" s="68" t="s">
        <v>345</v>
      </c>
      <c r="D98" s="115" t="s">
        <v>346</v>
      </c>
      <c r="E98" s="366" t="s">
        <v>327</v>
      </c>
      <c r="F98" s="357"/>
      <c r="J98" s="6"/>
      <c r="K98" s="6"/>
      <c r="L98" s="6"/>
      <c r="M98" s="6"/>
    </row>
    <row r="99" spans="2:13" ht="14.25" customHeight="1" x14ac:dyDescent="0.3">
      <c r="B99" s="12">
        <v>200</v>
      </c>
      <c r="C99" s="6" t="s">
        <v>347</v>
      </c>
      <c r="D99" s="46" t="s">
        <v>348</v>
      </c>
      <c r="E99" s="360" t="s">
        <v>330</v>
      </c>
      <c r="F99" s="351"/>
      <c r="J99" s="6"/>
      <c r="K99" s="6"/>
      <c r="L99" s="6"/>
      <c r="M99" s="6"/>
    </row>
    <row r="100" spans="2:13" ht="14.25" customHeight="1" x14ac:dyDescent="0.3">
      <c r="B100" s="114">
        <v>250</v>
      </c>
      <c r="C100" s="68" t="s">
        <v>349</v>
      </c>
      <c r="D100" s="115" t="s">
        <v>350</v>
      </c>
      <c r="E100" s="366" t="s">
        <v>330</v>
      </c>
      <c r="F100" s="357"/>
      <c r="J100" s="6"/>
      <c r="K100" s="6"/>
      <c r="L100" s="6"/>
      <c r="M100" s="6"/>
    </row>
    <row r="101" spans="2:13" ht="14.25" customHeight="1" x14ac:dyDescent="0.3">
      <c r="B101" s="12">
        <v>300</v>
      </c>
      <c r="C101" s="6" t="s">
        <v>351</v>
      </c>
      <c r="D101" s="46" t="s">
        <v>352</v>
      </c>
      <c r="E101" s="360" t="s">
        <v>330</v>
      </c>
      <c r="F101" s="351"/>
      <c r="J101" s="6"/>
      <c r="K101" s="6"/>
      <c r="L101" s="6"/>
      <c r="M101" s="6"/>
    </row>
    <row r="102" spans="2:13" ht="14.25" customHeight="1" x14ac:dyDescent="0.3">
      <c r="B102" s="114">
        <v>400</v>
      </c>
      <c r="C102" s="68" t="s">
        <v>353</v>
      </c>
      <c r="D102" s="115" t="s">
        <v>354</v>
      </c>
      <c r="E102" s="366" t="s">
        <v>337</v>
      </c>
      <c r="F102" s="357"/>
      <c r="J102" s="6"/>
      <c r="K102" s="6"/>
      <c r="L102" s="6"/>
      <c r="M102" s="6"/>
    </row>
    <row r="103" spans="2:13" ht="14.25" customHeight="1" x14ac:dyDescent="0.3">
      <c r="B103" s="52">
        <v>600</v>
      </c>
      <c r="C103" s="40" t="s">
        <v>355</v>
      </c>
      <c r="D103" s="110" t="s">
        <v>354</v>
      </c>
      <c r="E103" s="367" t="s">
        <v>337</v>
      </c>
      <c r="F103" s="359"/>
      <c r="J103" s="6"/>
      <c r="K103" s="6"/>
      <c r="L103" s="6"/>
      <c r="M103" s="6"/>
    </row>
    <row r="104" spans="2:13" ht="14.25" customHeight="1" x14ac:dyDescent="0.3">
      <c r="B104" s="6"/>
      <c r="C104" s="6"/>
      <c r="D104" s="46"/>
      <c r="E104" s="46"/>
      <c r="F104" s="46"/>
      <c r="J104" s="6"/>
      <c r="K104" s="6"/>
      <c r="L104" s="6"/>
      <c r="M104" s="6"/>
    </row>
    <row r="105" spans="2:13" ht="14.25" customHeight="1" x14ac:dyDescent="0.3">
      <c r="B105" s="65" t="s">
        <v>356</v>
      </c>
      <c r="C105" s="15"/>
      <c r="D105" s="124"/>
      <c r="E105" s="46"/>
      <c r="F105" s="46"/>
      <c r="J105" s="6"/>
      <c r="K105" s="6"/>
      <c r="L105" s="6"/>
      <c r="M105" s="6"/>
    </row>
    <row r="106" spans="2:13" ht="14.25" customHeight="1" x14ac:dyDescent="0.3">
      <c r="B106" s="114">
        <v>70</v>
      </c>
      <c r="C106" s="68" t="s">
        <v>357</v>
      </c>
      <c r="D106" s="116" t="s">
        <v>358</v>
      </c>
      <c r="E106" s="46"/>
      <c r="F106" s="46"/>
      <c r="J106" s="6"/>
      <c r="K106" s="6"/>
      <c r="L106" s="6"/>
      <c r="M106" s="6"/>
    </row>
    <row r="107" spans="2:13" ht="14.25" customHeight="1" x14ac:dyDescent="0.3">
      <c r="B107" s="12">
        <v>80</v>
      </c>
      <c r="C107" s="6" t="s">
        <v>359</v>
      </c>
      <c r="D107" s="118" t="s">
        <v>360</v>
      </c>
      <c r="E107" s="46"/>
      <c r="F107" s="46"/>
      <c r="J107" s="6"/>
      <c r="K107" s="6"/>
      <c r="L107" s="6"/>
      <c r="M107" s="6"/>
    </row>
    <row r="108" spans="2:13" ht="14.25" customHeight="1" x14ac:dyDescent="0.3">
      <c r="B108" s="114">
        <v>125</v>
      </c>
      <c r="C108" s="68" t="s">
        <v>361</v>
      </c>
      <c r="D108" s="116" t="s">
        <v>362</v>
      </c>
      <c r="E108" s="46"/>
      <c r="F108" s="46"/>
      <c r="J108" s="6"/>
      <c r="K108" s="6"/>
      <c r="L108" s="6"/>
      <c r="M108" s="6"/>
    </row>
    <row r="109" spans="2:13" ht="14.25" customHeight="1" x14ac:dyDescent="0.3">
      <c r="B109" s="12">
        <v>150</v>
      </c>
      <c r="C109" s="6" t="s">
        <v>363</v>
      </c>
      <c r="D109" s="118" t="s">
        <v>364</v>
      </c>
      <c r="E109" s="46"/>
      <c r="F109" s="46"/>
      <c r="J109" s="6"/>
      <c r="K109" s="6"/>
      <c r="L109" s="6"/>
      <c r="M109" s="6"/>
    </row>
    <row r="110" spans="2:13" ht="14.25" customHeight="1" x14ac:dyDescent="0.3">
      <c r="B110" s="114">
        <v>200</v>
      </c>
      <c r="C110" s="68" t="s">
        <v>365</v>
      </c>
      <c r="D110" s="116" t="s">
        <v>366</v>
      </c>
      <c r="E110" s="46"/>
      <c r="F110" s="46"/>
      <c r="J110" s="6"/>
      <c r="K110" s="6"/>
      <c r="L110" s="6"/>
      <c r="M110" s="6"/>
    </row>
    <row r="111" spans="2:13" ht="14.25" customHeight="1" x14ac:dyDescent="0.3">
      <c r="B111" s="12">
        <v>250</v>
      </c>
      <c r="C111" s="6" t="s">
        <v>367</v>
      </c>
      <c r="D111" s="118" t="s">
        <v>368</v>
      </c>
      <c r="E111" s="46"/>
      <c r="F111" s="46"/>
      <c r="J111" s="6"/>
      <c r="K111" s="6"/>
      <c r="L111" s="6"/>
      <c r="M111" s="6"/>
    </row>
    <row r="112" spans="2:13" ht="14.25" customHeight="1" x14ac:dyDescent="0.3">
      <c r="B112" s="114">
        <v>300</v>
      </c>
      <c r="C112" s="68" t="s">
        <v>369</v>
      </c>
      <c r="D112" s="116" t="s">
        <v>370</v>
      </c>
      <c r="E112" s="46"/>
      <c r="F112" s="46"/>
      <c r="J112" s="6"/>
      <c r="K112" s="6"/>
      <c r="L112" s="6"/>
      <c r="M112" s="6"/>
    </row>
    <row r="113" spans="2:13" ht="14.25" customHeight="1" x14ac:dyDescent="0.3">
      <c r="B113" s="12">
        <v>350</v>
      </c>
      <c r="C113" s="6" t="s">
        <v>371</v>
      </c>
      <c r="D113" s="118" t="s">
        <v>372</v>
      </c>
      <c r="E113" s="46"/>
      <c r="F113" s="46"/>
      <c r="J113" s="6"/>
      <c r="K113" s="6"/>
      <c r="L113" s="6"/>
      <c r="M113" s="6"/>
    </row>
    <row r="114" spans="2:13" ht="14.25" customHeight="1" x14ac:dyDescent="0.3">
      <c r="B114" s="114">
        <v>400</v>
      </c>
      <c r="C114" s="68" t="s">
        <v>373</v>
      </c>
      <c r="D114" s="116" t="s">
        <v>374</v>
      </c>
      <c r="E114" s="46"/>
      <c r="F114" s="46"/>
      <c r="J114" s="6"/>
      <c r="K114" s="6"/>
      <c r="L114" s="6"/>
      <c r="M114" s="6"/>
    </row>
    <row r="115" spans="2:13" ht="14.25" customHeight="1" x14ac:dyDescent="0.3">
      <c r="B115" s="52">
        <v>500</v>
      </c>
      <c r="C115" s="40" t="s">
        <v>375</v>
      </c>
      <c r="D115" s="121" t="s">
        <v>376</v>
      </c>
      <c r="E115" s="46"/>
      <c r="F115" s="46"/>
      <c r="J115" s="6"/>
      <c r="K115" s="6"/>
      <c r="L115" s="6"/>
      <c r="M115" s="6"/>
    </row>
    <row r="116" spans="2:13" ht="14.25" customHeight="1" x14ac:dyDescent="0.3">
      <c r="B116" s="6"/>
      <c r="C116" s="6"/>
      <c r="D116" s="46"/>
      <c r="E116" s="46"/>
      <c r="F116" s="46"/>
      <c r="J116" s="6"/>
      <c r="K116" s="6"/>
      <c r="L116" s="6"/>
      <c r="M116" s="6"/>
    </row>
    <row r="117" spans="2:13" ht="14.25" customHeight="1" x14ac:dyDescent="0.3">
      <c r="B117" s="65" t="s">
        <v>377</v>
      </c>
      <c r="C117" s="15"/>
      <c r="D117" s="124"/>
      <c r="E117" s="46"/>
      <c r="F117" s="46"/>
      <c r="J117" s="6"/>
      <c r="K117" s="6"/>
      <c r="L117" s="6"/>
      <c r="M117" s="6"/>
    </row>
    <row r="118" spans="2:13" ht="14.25" customHeight="1" x14ac:dyDescent="0.3">
      <c r="B118" s="114">
        <v>70</v>
      </c>
      <c r="C118" s="68" t="s">
        <v>378</v>
      </c>
      <c r="D118" s="116" t="s">
        <v>358</v>
      </c>
      <c r="E118" s="46"/>
      <c r="F118" s="46"/>
      <c r="J118" s="6"/>
      <c r="K118" s="6"/>
      <c r="L118" s="6"/>
      <c r="M118" s="6"/>
    </row>
    <row r="119" spans="2:13" ht="14.25" customHeight="1" x14ac:dyDescent="0.3">
      <c r="B119" s="12">
        <v>80</v>
      </c>
      <c r="C119" s="6" t="s">
        <v>379</v>
      </c>
      <c r="D119" s="118" t="s">
        <v>360</v>
      </c>
      <c r="E119" s="46"/>
      <c r="F119" s="46"/>
      <c r="J119" s="6"/>
      <c r="K119" s="6"/>
      <c r="L119" s="6"/>
      <c r="M119" s="6"/>
    </row>
    <row r="120" spans="2:13" ht="14.25" customHeight="1" x14ac:dyDescent="0.3">
      <c r="B120" s="114">
        <v>125</v>
      </c>
      <c r="C120" s="68" t="s">
        <v>380</v>
      </c>
      <c r="D120" s="116" t="s">
        <v>362</v>
      </c>
      <c r="E120" s="46"/>
      <c r="F120" s="46"/>
      <c r="J120" s="6"/>
      <c r="K120" s="6"/>
      <c r="L120" s="6"/>
      <c r="M120" s="6"/>
    </row>
    <row r="121" spans="2:13" ht="14.25" customHeight="1" x14ac:dyDescent="0.3">
      <c r="B121" s="12">
        <v>150</v>
      </c>
      <c r="C121" s="6" t="s">
        <v>381</v>
      </c>
      <c r="D121" s="118" t="s">
        <v>364</v>
      </c>
      <c r="E121" s="46"/>
      <c r="F121" s="46"/>
      <c r="J121" s="6"/>
      <c r="K121" s="6"/>
      <c r="L121" s="6"/>
      <c r="M121" s="6"/>
    </row>
    <row r="122" spans="2:13" ht="14.25" customHeight="1" x14ac:dyDescent="0.3">
      <c r="B122" s="114">
        <v>200</v>
      </c>
      <c r="C122" s="68" t="s">
        <v>382</v>
      </c>
      <c r="D122" s="116" t="s">
        <v>366</v>
      </c>
      <c r="E122" s="46"/>
      <c r="F122" s="46"/>
      <c r="J122" s="6"/>
      <c r="K122" s="6"/>
      <c r="L122" s="6"/>
      <c r="M122" s="6"/>
    </row>
    <row r="123" spans="2:13" ht="14.25" customHeight="1" x14ac:dyDescent="0.3">
      <c r="B123" s="12">
        <v>250</v>
      </c>
      <c r="C123" s="6" t="s">
        <v>383</v>
      </c>
      <c r="D123" s="118" t="s">
        <v>368</v>
      </c>
      <c r="E123" s="46"/>
      <c r="F123" s="46"/>
      <c r="J123" s="6"/>
      <c r="K123" s="6"/>
      <c r="L123" s="6"/>
      <c r="M123" s="6"/>
    </row>
    <row r="124" spans="2:13" ht="14.25" customHeight="1" x14ac:dyDescent="0.3">
      <c r="B124" s="114">
        <v>300</v>
      </c>
      <c r="C124" s="68" t="s">
        <v>384</v>
      </c>
      <c r="D124" s="116" t="s">
        <v>370</v>
      </c>
      <c r="E124" s="46"/>
      <c r="F124" s="46"/>
      <c r="J124" s="6"/>
      <c r="K124" s="6"/>
      <c r="L124" s="6"/>
      <c r="M124" s="6"/>
    </row>
    <row r="125" spans="2:13" ht="14.25" customHeight="1" x14ac:dyDescent="0.3">
      <c r="B125" s="12">
        <v>350</v>
      </c>
      <c r="C125" s="6" t="s">
        <v>385</v>
      </c>
      <c r="D125" s="118" t="s">
        <v>372</v>
      </c>
      <c r="E125" s="46"/>
      <c r="F125" s="46"/>
      <c r="J125" s="6"/>
      <c r="K125" s="6"/>
      <c r="L125" s="6"/>
      <c r="M125" s="6"/>
    </row>
    <row r="126" spans="2:13" ht="14.25" customHeight="1" x14ac:dyDescent="0.3">
      <c r="B126" s="114">
        <v>400</v>
      </c>
      <c r="C126" s="68" t="s">
        <v>386</v>
      </c>
      <c r="D126" s="116" t="s">
        <v>374</v>
      </c>
      <c r="E126" s="46"/>
      <c r="F126" s="46"/>
      <c r="J126" s="6"/>
      <c r="K126" s="6"/>
      <c r="L126" s="6"/>
      <c r="M126" s="6"/>
    </row>
    <row r="127" spans="2:13" ht="14.25" customHeight="1" x14ac:dyDescent="0.3">
      <c r="B127" s="52">
        <v>500</v>
      </c>
      <c r="C127" s="40" t="s">
        <v>387</v>
      </c>
      <c r="D127" s="121" t="s">
        <v>376</v>
      </c>
      <c r="J127" s="6"/>
      <c r="K127" s="6"/>
      <c r="L127" s="6"/>
      <c r="M127" s="6"/>
    </row>
  </sheetData>
  <sheetProtection algorithmName="SHA-512" hashValue="CLQOIMC9ISjuvAa1p9rY7Zqkjkom9MeqPPuYZjXdCBNQKlUNVsDvF8JwyxM7sL5qsvdQh38vcm+ngYtjrfd6EA==" saltValue="bHk7MXJUyW/q683HKze3xg==" spinCount="100000" sheet="1" objects="1" scenarios="1"/>
  <mergeCells count="21">
    <mergeCell ref="E90:F90"/>
    <mergeCell ref="E89:F89"/>
    <mergeCell ref="E88:F88"/>
    <mergeCell ref="E87:F87"/>
    <mergeCell ref="E86:F86"/>
    <mergeCell ref="E103:F103"/>
    <mergeCell ref="E101:F101"/>
    <mergeCell ref="E100:F100"/>
    <mergeCell ref="E96:F96"/>
    <mergeCell ref="E93:F93"/>
    <mergeCell ref="E99:F99"/>
    <mergeCell ref="E91:F91"/>
    <mergeCell ref="E92:F92"/>
    <mergeCell ref="E98:F98"/>
    <mergeCell ref="E97:F97"/>
    <mergeCell ref="E102:F102"/>
    <mergeCell ref="J5:L5"/>
    <mergeCell ref="H5:I5"/>
    <mergeCell ref="M5:O5"/>
    <mergeCell ref="B2:F2"/>
    <mergeCell ref="E3:F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P103"/>
  <sheetViews>
    <sheetView zoomScale="95" zoomScaleNormal="95" workbookViewId="0">
      <selection activeCell="I18" sqref="I18"/>
    </sheetView>
  </sheetViews>
  <sheetFormatPr defaultColWidth="14.44140625" defaultRowHeight="15" customHeight="1" x14ac:dyDescent="0.3"/>
  <cols>
    <col min="1" max="1" width="8.6640625" customWidth="1"/>
    <col min="2" max="2" width="12.77734375" customWidth="1"/>
    <col min="3" max="4" width="8.6640625" customWidth="1"/>
    <col min="5" max="6" width="9.109375" customWidth="1"/>
    <col min="7" max="7" width="14.44140625" customWidth="1"/>
    <col min="8" max="8" width="8.6640625" customWidth="1"/>
    <col min="10" max="11" width="17.77734375" bestFit="1" customWidth="1"/>
    <col min="14" max="14" width="16.33203125" bestFit="1" customWidth="1"/>
    <col min="16" max="16" width="14.44140625" style="165"/>
  </cols>
  <sheetData>
    <row r="1" spans="2:16" ht="14.25" customHeight="1" thickBot="1" x14ac:dyDescent="0.35"/>
    <row r="2" spans="2:16" ht="14.25" customHeight="1" x14ac:dyDescent="0.3">
      <c r="B2" t="s">
        <v>562</v>
      </c>
      <c r="J2" s="292" t="s">
        <v>391</v>
      </c>
      <c r="K2" s="192" t="s">
        <v>394</v>
      </c>
      <c r="M2" s="225" t="s">
        <v>575</v>
      </c>
      <c r="N2" s="300">
        <f>SUM(Table1[Voltage Drop])</f>
        <v>6.2581325639344261</v>
      </c>
    </row>
    <row r="3" spans="2:16" ht="14.25" customHeight="1" thickBot="1" x14ac:dyDescent="0.35">
      <c r="B3" t="s">
        <v>563</v>
      </c>
      <c r="J3" s="200">
        <v>1</v>
      </c>
      <c r="K3" s="193">
        <v>2</v>
      </c>
      <c r="M3" s="227" t="s">
        <v>576</v>
      </c>
      <c r="N3" s="302">
        <f>SUM(Table1[%VD])</f>
        <v>2.7209272017106201E-2</v>
      </c>
    </row>
    <row r="4" spans="2:16" ht="14.25" customHeight="1" thickBot="1" x14ac:dyDescent="0.35">
      <c r="J4" s="201">
        <v>3</v>
      </c>
      <c r="K4" s="194">
        <v>1.732</v>
      </c>
    </row>
    <row r="5" spans="2:16" ht="14.25" customHeight="1" thickBot="1" x14ac:dyDescent="0.35">
      <c r="B5" t="s">
        <v>388</v>
      </c>
    </row>
    <row r="6" spans="2:16" ht="14.25" customHeight="1" x14ac:dyDescent="0.3">
      <c r="B6" t="s">
        <v>560</v>
      </c>
      <c r="J6" s="195" t="s">
        <v>550</v>
      </c>
    </row>
    <row r="7" spans="2:16" ht="14.25" customHeight="1" x14ac:dyDescent="0.3">
      <c r="B7" t="s">
        <v>389</v>
      </c>
      <c r="J7" s="196" t="s">
        <v>152</v>
      </c>
    </row>
    <row r="8" spans="2:16" ht="14.25" customHeight="1" thickBot="1" x14ac:dyDescent="0.35">
      <c r="B8" t="s">
        <v>558</v>
      </c>
      <c r="J8" s="197" t="s">
        <v>573</v>
      </c>
    </row>
    <row r="9" spans="2:16" ht="14.25" customHeight="1" x14ac:dyDescent="0.3">
      <c r="B9" t="s">
        <v>559</v>
      </c>
      <c r="J9" s="157"/>
    </row>
    <row r="10" spans="2:16" ht="14.25" customHeight="1" x14ac:dyDescent="0.3">
      <c r="B10" t="s">
        <v>564</v>
      </c>
    </row>
    <row r="11" spans="2:16" ht="14.25" customHeight="1" x14ac:dyDescent="0.3">
      <c r="B11" t="s">
        <v>565</v>
      </c>
    </row>
    <row r="12" spans="2:16" ht="14.25" customHeight="1" x14ac:dyDescent="0.3">
      <c r="B12" t="s">
        <v>561</v>
      </c>
    </row>
    <row r="13" spans="2:16" ht="14.25" customHeight="1" x14ac:dyDescent="0.3"/>
    <row r="14" spans="2:16" ht="14.25" customHeight="1" x14ac:dyDescent="0.3"/>
    <row r="15" spans="2:16" ht="14.25" customHeight="1" x14ac:dyDescent="0.3"/>
    <row r="16" spans="2:16" ht="14.25" customHeight="1" x14ac:dyDescent="0.3">
      <c r="B16" s="294" t="s">
        <v>566</v>
      </c>
      <c r="C16" s="295" t="s">
        <v>391</v>
      </c>
      <c r="D16" s="295" t="s">
        <v>571</v>
      </c>
      <c r="E16" s="295" t="s">
        <v>394</v>
      </c>
      <c r="F16" s="295" t="s">
        <v>568</v>
      </c>
      <c r="G16" s="295" t="s">
        <v>569</v>
      </c>
      <c r="H16" s="295" t="s">
        <v>421</v>
      </c>
      <c r="I16" s="295" t="s">
        <v>419</v>
      </c>
      <c r="J16" s="295" t="s">
        <v>552</v>
      </c>
      <c r="K16" s="295" t="s">
        <v>572</v>
      </c>
      <c r="L16" s="295" t="s">
        <v>124</v>
      </c>
      <c r="M16" s="295" t="s">
        <v>567</v>
      </c>
      <c r="N16" s="295" t="s">
        <v>48</v>
      </c>
      <c r="O16" s="295" t="s">
        <v>570</v>
      </c>
      <c r="P16" s="296" t="s">
        <v>574</v>
      </c>
    </row>
    <row r="17" spans="2:16" ht="14.25" customHeight="1" x14ac:dyDescent="0.3">
      <c r="B17" s="211">
        <v>1</v>
      </c>
      <c r="C17" s="303">
        <v>3</v>
      </c>
      <c r="D17" s="303">
        <v>230</v>
      </c>
      <c r="E17" s="293">
        <f>_xlfn.IFNA(VLOOKUP(Table1[[#This Row],[Phase]],$J$2:$K$4, 2,FALSE), "-")</f>
        <v>1.732</v>
      </c>
      <c r="F17" s="303">
        <v>8</v>
      </c>
      <c r="G17" s="303">
        <v>200</v>
      </c>
      <c r="H17" s="303">
        <v>1</v>
      </c>
      <c r="I17" s="303" t="s">
        <v>203</v>
      </c>
      <c r="J17" s="307" t="str">
        <f>_xlfn.IFNA(VLOOKUP(Table1[[#This Row],[Wire Code]], 'Table Reference'!$Z$6:$AB$111, 3,FALSE), "-")</f>
        <v>CU</v>
      </c>
      <c r="K17" s="307">
        <f>_xlfn.IFNA(VLOOKUP(VLOOKUP(Table1[[#This Row],[Wire Code]], 'Table Reference'!$Z$6:$AA$111, 2,FALSE), 'Table Reference'!$AD$6:$AE$26, 2, FALSE), "-")</f>
        <v>80</v>
      </c>
      <c r="L17" s="305" t="s">
        <v>573</v>
      </c>
      <c r="M17" s="307">
        <f>_xlfn.IFNA(VLOOKUP(Table1[[#This Row],[Wire Dia (mm²)]], 'Table Reference'!$B$7:$K$27, IF(Table1[[#This Row],[Conductor Type]]="CU", IF(Table1[[#This Row],[Conduit]]="PVC", 5, 7), IF(Table1[[#This Row],[Conduit]]="PVC", 8, 10)),FALSE), "-")</f>
        <v>7.9000000000000001E-2</v>
      </c>
      <c r="N17" s="307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5.1999999999999998E-2</v>
      </c>
      <c r="O17" s="299">
        <f>IFERROR(Table1[[#This Row],[k]]*Table1[[#This Row],[D]]*Table1[[#This Row],[I]]*(((Table1[[#This Row],[R]]*0.85)/305)+((Table1[[#This Row],[X]]*0.53)/305))/Table1[[#This Row],[n]], "-")</f>
        <v>0.86052574426229511</v>
      </c>
      <c r="P17" s="301">
        <f>IFERROR(Table1[[#This Row],[Voltage Drop]]/Table1[[#This Row],[Column1]], "-")</f>
        <v>3.7414162794012829E-3</v>
      </c>
    </row>
    <row r="18" spans="2:16" ht="14.25" customHeight="1" x14ac:dyDescent="0.3">
      <c r="B18" s="211">
        <v>2</v>
      </c>
      <c r="C18" s="303">
        <v>1</v>
      </c>
      <c r="D18" s="303">
        <v>230</v>
      </c>
      <c r="E18" s="293">
        <f>_xlfn.IFNA(VLOOKUP(Table1[[#This Row],[Phase]],$J$2:$K$4, 2,FALSE), "-")</f>
        <v>2</v>
      </c>
      <c r="F18" s="303">
        <v>49.16</v>
      </c>
      <c r="G18" s="303">
        <v>16</v>
      </c>
      <c r="H18" s="303">
        <v>1</v>
      </c>
      <c r="I18" s="303" t="s">
        <v>161</v>
      </c>
      <c r="J18" s="307" t="str">
        <f>_xlfn.IFNA(VLOOKUP(Table1[[#This Row],[Wire Code]], 'Table Reference'!$Z$6:$AB$111, 3,FALSE), "-")</f>
        <v>CU</v>
      </c>
      <c r="K18" s="307">
        <f>_xlfn.IFNA(VLOOKUP(VLOOKUP(Table1[[#This Row],[Wire Code]], 'Table Reference'!$Z$6:$AA$111, 2,FALSE), 'Table Reference'!$AD$6:$AE$26, 2, FALSE), "-")</f>
        <v>5.5</v>
      </c>
      <c r="L18" s="305" t="s">
        <v>152</v>
      </c>
      <c r="M18" s="307">
        <f>_xlfn.IFNA(VLOOKUP(Table1[[#This Row],[Wire Dia (mm²)]], 'Table Reference'!$B$7:$K$27, IF(Table1[[#This Row],[Conductor Type]]="CU", IF(Table1[[#This Row],[Conduit]]="PVC", 5, 7), IF(Table1[[#This Row],[Conduit]]="PVC", 8, 10)),FALSE), "-")</f>
        <v>1.2</v>
      </c>
      <c r="N18" s="307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0.05</v>
      </c>
      <c r="O18" s="299">
        <f>IFERROR(Table1[[#This Row],[k]]*Table1[[#This Row],[D]]*Table1[[#This Row],[I]]*(((Table1[[#This Row],[R]]*0.85)/305)+((Table1[[#This Row],[X]]*0.53)/305))/Table1[[#This Row],[n]], "-")</f>
        <v>5.3976068196721307</v>
      </c>
      <c r="P18" s="301">
        <f>IFERROR(Table1[[#This Row],[Voltage Drop]]/Table1[[#This Row],[Column1]], "-")</f>
        <v>2.3467855737704917E-2</v>
      </c>
    </row>
    <row r="19" spans="2:16" ht="14.25" customHeight="1" x14ac:dyDescent="0.3">
      <c r="B19" s="211">
        <v>3</v>
      </c>
      <c r="C19" s="303"/>
      <c r="D19" s="303"/>
      <c r="E19" s="293" t="str">
        <f>_xlfn.IFNA(VLOOKUP(Table1[[#This Row],[Phase]],$J$2:$K$4, 2,FALSE), "-")</f>
        <v>-</v>
      </c>
      <c r="F19" s="303"/>
      <c r="G19" s="303"/>
      <c r="H19" s="303"/>
      <c r="I19" s="303"/>
      <c r="J19" s="307" t="str">
        <f>_xlfn.IFNA(VLOOKUP(Table1[[#This Row],[Wire Code]], 'Table Reference'!$Z$6:$AB$111, 3,FALSE), "-")</f>
        <v>-</v>
      </c>
      <c r="K19" s="307" t="str">
        <f>_xlfn.IFNA(VLOOKUP(VLOOKUP(Table1[[#This Row],[Wire Code]], 'Table Reference'!$Z$6:$AA$111, 2,FALSE), 'Table Reference'!$AD$6:$AE$26, 2, FALSE), "-")</f>
        <v>-</v>
      </c>
      <c r="L19" s="305"/>
      <c r="M19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19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19" s="299" t="str">
        <f>IFERROR(Table1[[#This Row],[k]]*Table1[[#This Row],[D]]*Table1[[#This Row],[I]]*(((Table1[[#This Row],[R]]*0.85)/305)+((Table1[[#This Row],[X]]*0.53)/305))/Table1[[#This Row],[n]], "-")</f>
        <v>-</v>
      </c>
      <c r="P19" s="301" t="str">
        <f>IFERROR(Table1[[#This Row],[Voltage Drop]]/Table1[[#This Row],[Column1]], "-")</f>
        <v>-</v>
      </c>
    </row>
    <row r="20" spans="2:16" ht="14.25" customHeight="1" x14ac:dyDescent="0.3">
      <c r="B20" s="211">
        <v>4</v>
      </c>
      <c r="C20" s="303"/>
      <c r="D20" s="303"/>
      <c r="E20" s="293" t="str">
        <f>_xlfn.IFNA(VLOOKUP(Table1[[#This Row],[Phase]],$J$2:$K$4, 2,FALSE), "-")</f>
        <v>-</v>
      </c>
      <c r="F20" s="303"/>
      <c r="G20" s="303"/>
      <c r="H20" s="303"/>
      <c r="I20" s="303"/>
      <c r="J20" s="307" t="str">
        <f>_xlfn.IFNA(VLOOKUP(Table1[[#This Row],[Wire Code]], 'Table Reference'!$Z$6:$AB$111, 3,FALSE), "-")</f>
        <v>-</v>
      </c>
      <c r="K20" s="307" t="str">
        <f>_xlfn.IFNA(VLOOKUP(VLOOKUP(Table1[[#This Row],[Wire Code]], 'Table Reference'!$Z$6:$AA$111, 2,FALSE), 'Table Reference'!$AD$6:$AE$26, 2, FALSE), "-")</f>
        <v>-</v>
      </c>
      <c r="L20" s="305"/>
      <c r="M20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0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0" s="299" t="str">
        <f>IFERROR(Table1[[#This Row],[k]]*Table1[[#This Row],[D]]*Table1[[#This Row],[I]]*(((Table1[[#This Row],[R]]*0.85)/305)+((Table1[[#This Row],[X]]*0.53)/305))/Table1[[#This Row],[n]], "-")</f>
        <v>-</v>
      </c>
      <c r="P20" s="301" t="str">
        <f>IFERROR(Table1[[#This Row],[Voltage Drop]]/Table1[[#This Row],[Column1]], "-")</f>
        <v>-</v>
      </c>
    </row>
    <row r="21" spans="2:16" ht="14.25" customHeight="1" x14ac:dyDescent="0.3">
      <c r="B21" s="211">
        <v>5</v>
      </c>
      <c r="C21" s="303"/>
      <c r="D21" s="303"/>
      <c r="E21" s="293" t="str">
        <f>_xlfn.IFNA(VLOOKUP(Table1[[#This Row],[Phase]],$J$2:$K$4, 2,FALSE), "-")</f>
        <v>-</v>
      </c>
      <c r="F21" s="303"/>
      <c r="G21" s="303"/>
      <c r="H21" s="303"/>
      <c r="I21" s="303"/>
      <c r="J21" s="307" t="str">
        <f>_xlfn.IFNA(VLOOKUP(Table1[[#This Row],[Wire Code]], 'Table Reference'!$Z$6:$AB$111, 3,FALSE), "-")</f>
        <v>-</v>
      </c>
      <c r="K21" s="307" t="str">
        <f>_xlfn.IFNA(VLOOKUP(VLOOKUP(Table1[[#This Row],[Wire Code]], 'Table Reference'!$Z$6:$AA$111, 2,FALSE), 'Table Reference'!$AD$6:$AE$26, 2, FALSE), "-")</f>
        <v>-</v>
      </c>
      <c r="L21" s="305"/>
      <c r="M21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1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1" s="299" t="str">
        <f>IFERROR(Table1[[#This Row],[k]]*Table1[[#This Row],[D]]*Table1[[#This Row],[I]]*(((Table1[[#This Row],[R]]*0.85)/305)+((Table1[[#This Row],[X]]*0.53)/305))/Table1[[#This Row],[n]], "-")</f>
        <v>-</v>
      </c>
      <c r="P21" s="301" t="str">
        <f>IFERROR(Table1[[#This Row],[Voltage Drop]]/Table1[[#This Row],[Column1]], "-")</f>
        <v>-</v>
      </c>
    </row>
    <row r="22" spans="2:16" ht="14.25" customHeight="1" x14ac:dyDescent="0.3">
      <c r="B22" s="211">
        <v>6</v>
      </c>
      <c r="C22" s="303"/>
      <c r="D22" s="303"/>
      <c r="E22" s="293" t="str">
        <f>_xlfn.IFNA(VLOOKUP(Table1[[#This Row],[Phase]],$J$2:$K$4, 2,FALSE), "-")</f>
        <v>-</v>
      </c>
      <c r="F22" s="303"/>
      <c r="G22" s="303"/>
      <c r="H22" s="303"/>
      <c r="I22" s="303"/>
      <c r="J22" s="307" t="str">
        <f>_xlfn.IFNA(VLOOKUP(Table1[[#This Row],[Wire Code]], 'Table Reference'!$Z$6:$AB$111, 3,FALSE), "-")</f>
        <v>-</v>
      </c>
      <c r="K22" s="307" t="str">
        <f>_xlfn.IFNA(VLOOKUP(VLOOKUP(Table1[[#This Row],[Wire Code]], 'Table Reference'!$Z$6:$AA$111, 2,FALSE), 'Table Reference'!$AD$6:$AE$26, 2, FALSE), "-")</f>
        <v>-</v>
      </c>
      <c r="L22" s="305"/>
      <c r="M22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2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2" s="299" t="str">
        <f>IFERROR(Table1[[#This Row],[k]]*Table1[[#This Row],[D]]*Table1[[#This Row],[I]]*(((Table1[[#This Row],[R]]*0.85)/305)+((Table1[[#This Row],[X]]*0.53)/305))/Table1[[#This Row],[n]], "-")</f>
        <v>-</v>
      </c>
      <c r="P22" s="301" t="str">
        <f>IFERROR(Table1[[#This Row],[Voltage Drop]]/Table1[[#This Row],[Column1]], "-")</f>
        <v>-</v>
      </c>
    </row>
    <row r="23" spans="2:16" ht="14.25" customHeight="1" x14ac:dyDescent="0.3">
      <c r="B23" s="211">
        <v>7</v>
      </c>
      <c r="C23" s="303"/>
      <c r="D23" s="303"/>
      <c r="E23" s="293" t="str">
        <f>_xlfn.IFNA(VLOOKUP(Table1[[#This Row],[Phase]],$J$2:$K$4, 2,FALSE), "-")</f>
        <v>-</v>
      </c>
      <c r="F23" s="303"/>
      <c r="G23" s="303"/>
      <c r="H23" s="303"/>
      <c r="I23" s="303"/>
      <c r="J23" s="307" t="str">
        <f>_xlfn.IFNA(VLOOKUP(Table1[[#This Row],[Wire Code]], 'Table Reference'!$Z$6:$AB$111, 3,FALSE), "-")</f>
        <v>-</v>
      </c>
      <c r="K23" s="307" t="str">
        <f>_xlfn.IFNA(VLOOKUP(VLOOKUP(Table1[[#This Row],[Wire Code]], 'Table Reference'!$Z$6:$AA$111, 2,FALSE), 'Table Reference'!$AD$6:$AE$26, 2, FALSE), "-")</f>
        <v>-</v>
      </c>
      <c r="L23" s="305"/>
      <c r="M23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3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3" s="299" t="str">
        <f>IFERROR(Table1[[#This Row],[k]]*Table1[[#This Row],[D]]*Table1[[#This Row],[I]]*(((Table1[[#This Row],[R]]*0.85)/305)+((Table1[[#This Row],[X]]*0.53)/305))/Table1[[#This Row],[n]], "-")</f>
        <v>-</v>
      </c>
      <c r="P23" s="301" t="str">
        <f>IFERROR(Table1[[#This Row],[Voltage Drop]]/Table1[[#This Row],[Column1]], "-")</f>
        <v>-</v>
      </c>
    </row>
    <row r="24" spans="2:16" ht="14.25" customHeight="1" x14ac:dyDescent="0.3">
      <c r="B24" s="211">
        <v>8</v>
      </c>
      <c r="C24" s="303"/>
      <c r="D24" s="303"/>
      <c r="E24" s="293" t="str">
        <f>_xlfn.IFNA(VLOOKUP(Table1[[#This Row],[Phase]],$J$2:$K$4, 2,FALSE), "-")</f>
        <v>-</v>
      </c>
      <c r="F24" s="303"/>
      <c r="G24" s="303"/>
      <c r="H24" s="303"/>
      <c r="I24" s="303"/>
      <c r="J24" s="307" t="str">
        <f>_xlfn.IFNA(VLOOKUP(Table1[[#This Row],[Wire Code]], 'Table Reference'!$Z$6:$AB$111, 3,FALSE), "-")</f>
        <v>-</v>
      </c>
      <c r="K24" s="307" t="str">
        <f>_xlfn.IFNA(VLOOKUP(VLOOKUP(Table1[[#This Row],[Wire Code]], 'Table Reference'!$Z$6:$AA$111, 2,FALSE), 'Table Reference'!$AD$6:$AE$26, 2, FALSE), "-")</f>
        <v>-</v>
      </c>
      <c r="L24" s="305"/>
      <c r="M24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4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4" s="299" t="str">
        <f>IFERROR(Table1[[#This Row],[k]]*Table1[[#This Row],[D]]*Table1[[#This Row],[I]]*(((Table1[[#This Row],[R]]*0.85)/305)+((Table1[[#This Row],[X]]*0.53)/305))/Table1[[#This Row],[n]], "-")</f>
        <v>-</v>
      </c>
      <c r="P24" s="301" t="str">
        <f>IFERROR(Table1[[#This Row],[Voltage Drop]]/Table1[[#This Row],[Column1]], "-")</f>
        <v>-</v>
      </c>
    </row>
    <row r="25" spans="2:16" ht="14.25" customHeight="1" x14ac:dyDescent="0.3">
      <c r="B25" s="211">
        <v>9</v>
      </c>
      <c r="C25" s="303"/>
      <c r="D25" s="303"/>
      <c r="E25" s="293" t="str">
        <f>_xlfn.IFNA(VLOOKUP(Table1[[#This Row],[Phase]],$J$2:$K$4, 2,FALSE), "-")</f>
        <v>-</v>
      </c>
      <c r="F25" s="303"/>
      <c r="G25" s="303"/>
      <c r="H25" s="303"/>
      <c r="I25" s="303"/>
      <c r="J25" s="307" t="str">
        <f>_xlfn.IFNA(VLOOKUP(Table1[[#This Row],[Wire Code]], 'Table Reference'!$Z$6:$AB$111, 3,FALSE), "-")</f>
        <v>-</v>
      </c>
      <c r="K25" s="307" t="str">
        <f>_xlfn.IFNA(VLOOKUP(VLOOKUP(Table1[[#This Row],[Wire Code]], 'Table Reference'!$Z$6:$AA$111, 2,FALSE), 'Table Reference'!$AD$6:$AE$26, 2, FALSE), "-")</f>
        <v>-</v>
      </c>
      <c r="L25" s="305"/>
      <c r="M25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5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5" s="299" t="str">
        <f>IFERROR(Table1[[#This Row],[k]]*Table1[[#This Row],[D]]*Table1[[#This Row],[I]]*(((Table1[[#This Row],[R]]*0.85)/305)+((Table1[[#This Row],[X]]*0.53)/305))/Table1[[#This Row],[n]], "-")</f>
        <v>-</v>
      </c>
      <c r="P25" s="301" t="str">
        <f>IFERROR(Table1[[#This Row],[Voltage Drop]]/Table1[[#This Row],[Column1]], "-")</f>
        <v>-</v>
      </c>
    </row>
    <row r="26" spans="2:16" ht="14.25" customHeight="1" x14ac:dyDescent="0.3">
      <c r="B26" s="211">
        <v>10</v>
      </c>
      <c r="C26" s="303"/>
      <c r="D26" s="303"/>
      <c r="E26" s="293" t="str">
        <f>_xlfn.IFNA(VLOOKUP(Table1[[#This Row],[Phase]],$J$2:$K$4, 2,FALSE), "-")</f>
        <v>-</v>
      </c>
      <c r="F26" s="303"/>
      <c r="G26" s="303"/>
      <c r="H26" s="303"/>
      <c r="I26" s="303"/>
      <c r="J26" s="307" t="str">
        <f>_xlfn.IFNA(VLOOKUP(Table1[[#This Row],[Wire Code]], 'Table Reference'!$Z$6:$AB$111, 3,FALSE), "-")</f>
        <v>-</v>
      </c>
      <c r="K26" s="307" t="str">
        <f>_xlfn.IFNA(VLOOKUP(VLOOKUP(Table1[[#This Row],[Wire Code]], 'Table Reference'!$Z$6:$AA$111, 2,FALSE), 'Table Reference'!$AD$6:$AE$26, 2, FALSE), "-")</f>
        <v>-</v>
      </c>
      <c r="L26" s="305"/>
      <c r="M26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6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6" s="299" t="str">
        <f>IFERROR(Table1[[#This Row],[k]]*Table1[[#This Row],[D]]*Table1[[#This Row],[I]]*(((Table1[[#This Row],[R]]*0.85)/305)+((Table1[[#This Row],[X]]*0.53)/305))/Table1[[#This Row],[n]], "-")</f>
        <v>-</v>
      </c>
      <c r="P26" s="301" t="str">
        <f>IFERROR(Table1[[#This Row],[Voltage Drop]]/Table1[[#This Row],[Column1]], "-")</f>
        <v>-</v>
      </c>
    </row>
    <row r="27" spans="2:16" ht="14.25" customHeight="1" x14ac:dyDescent="0.3">
      <c r="B27" s="211">
        <v>11</v>
      </c>
      <c r="C27" s="303"/>
      <c r="D27" s="303"/>
      <c r="E27" s="293" t="str">
        <f>_xlfn.IFNA(VLOOKUP(Table1[[#This Row],[Phase]],$J$2:$K$4, 2,FALSE), "-")</f>
        <v>-</v>
      </c>
      <c r="F27" s="303"/>
      <c r="G27" s="303"/>
      <c r="H27" s="303"/>
      <c r="I27" s="303"/>
      <c r="J27" s="307" t="str">
        <f>_xlfn.IFNA(VLOOKUP(Table1[[#This Row],[Wire Code]], 'Table Reference'!$Z$6:$AB$111, 3,FALSE), "-")</f>
        <v>-</v>
      </c>
      <c r="K27" s="307" t="str">
        <f>_xlfn.IFNA(VLOOKUP(VLOOKUP(Table1[[#This Row],[Wire Code]], 'Table Reference'!$Z$6:$AA$111, 2,FALSE), 'Table Reference'!$AD$6:$AE$26, 2, FALSE), "-")</f>
        <v>-</v>
      </c>
      <c r="L27" s="305"/>
      <c r="M27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7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7" s="299" t="str">
        <f>IFERROR(Table1[[#This Row],[k]]*Table1[[#This Row],[D]]*Table1[[#This Row],[I]]*(((Table1[[#This Row],[R]]*0.85)/305)+((Table1[[#This Row],[X]]*0.53)/305))/Table1[[#This Row],[n]], "-")</f>
        <v>-</v>
      </c>
      <c r="P27" s="301" t="str">
        <f>IFERROR(Table1[[#This Row],[Voltage Drop]]/Table1[[#This Row],[Column1]], "-")</f>
        <v>-</v>
      </c>
    </row>
    <row r="28" spans="2:16" ht="14.25" customHeight="1" x14ac:dyDescent="0.3">
      <c r="B28" s="211">
        <v>12</v>
      </c>
      <c r="C28" s="303"/>
      <c r="D28" s="303"/>
      <c r="E28" s="293" t="str">
        <f>_xlfn.IFNA(VLOOKUP(Table1[[#This Row],[Phase]],$J$2:$K$4, 2,FALSE), "-")</f>
        <v>-</v>
      </c>
      <c r="F28" s="303"/>
      <c r="G28" s="303"/>
      <c r="H28" s="303"/>
      <c r="I28" s="303"/>
      <c r="J28" s="307" t="str">
        <f>_xlfn.IFNA(VLOOKUP(Table1[[#This Row],[Wire Code]], 'Table Reference'!$Z$6:$AB$111, 3,FALSE), "-")</f>
        <v>-</v>
      </c>
      <c r="K28" s="307" t="str">
        <f>_xlfn.IFNA(VLOOKUP(VLOOKUP(Table1[[#This Row],[Wire Code]], 'Table Reference'!$Z$6:$AA$111, 2,FALSE), 'Table Reference'!$AD$6:$AE$26, 2, FALSE), "-")</f>
        <v>-</v>
      </c>
      <c r="L28" s="305"/>
      <c r="M28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8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8" s="299" t="str">
        <f>IFERROR(Table1[[#This Row],[k]]*Table1[[#This Row],[D]]*Table1[[#This Row],[I]]*(((Table1[[#This Row],[R]]*0.85)/305)+((Table1[[#This Row],[X]]*0.53)/305))/Table1[[#This Row],[n]], "-")</f>
        <v>-</v>
      </c>
      <c r="P28" s="301" t="str">
        <f>IFERROR(Table1[[#This Row],[Voltage Drop]]/Table1[[#This Row],[Column1]], "-")</f>
        <v>-</v>
      </c>
    </row>
    <row r="29" spans="2:16" ht="14.25" customHeight="1" x14ac:dyDescent="0.3">
      <c r="B29" s="211">
        <v>13</v>
      </c>
      <c r="C29" s="303"/>
      <c r="D29" s="303"/>
      <c r="E29" s="293" t="str">
        <f>_xlfn.IFNA(VLOOKUP(Table1[[#This Row],[Phase]],$J$2:$K$4, 2,FALSE), "-")</f>
        <v>-</v>
      </c>
      <c r="F29" s="303"/>
      <c r="G29" s="303"/>
      <c r="H29" s="303"/>
      <c r="I29" s="303"/>
      <c r="J29" s="307" t="str">
        <f>_xlfn.IFNA(VLOOKUP(Table1[[#This Row],[Wire Code]], 'Table Reference'!$Z$6:$AB$111, 3,FALSE), "-")</f>
        <v>-</v>
      </c>
      <c r="K29" s="307" t="str">
        <f>_xlfn.IFNA(VLOOKUP(VLOOKUP(Table1[[#This Row],[Wire Code]], 'Table Reference'!$Z$6:$AA$111, 2,FALSE), 'Table Reference'!$AD$6:$AE$26, 2, FALSE), "-")</f>
        <v>-</v>
      </c>
      <c r="L29" s="305"/>
      <c r="M29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29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29" s="299" t="str">
        <f>IFERROR(Table1[[#This Row],[k]]*Table1[[#This Row],[D]]*Table1[[#This Row],[I]]*(((Table1[[#This Row],[R]]*0.85)/305)+((Table1[[#This Row],[X]]*0.53)/305))/Table1[[#This Row],[n]], "-")</f>
        <v>-</v>
      </c>
      <c r="P29" s="301" t="str">
        <f>IFERROR(Table1[[#This Row],[Voltage Drop]]/Table1[[#This Row],[Column1]], "-")</f>
        <v>-</v>
      </c>
    </row>
    <row r="30" spans="2:16" ht="14.25" customHeight="1" x14ac:dyDescent="0.3">
      <c r="B30" s="211">
        <v>14</v>
      </c>
      <c r="C30" s="303"/>
      <c r="D30" s="303"/>
      <c r="E30" s="293" t="str">
        <f>_xlfn.IFNA(VLOOKUP(Table1[[#This Row],[Phase]],$J$2:$K$4, 2,FALSE), "-")</f>
        <v>-</v>
      </c>
      <c r="F30" s="303"/>
      <c r="G30" s="303"/>
      <c r="H30" s="303"/>
      <c r="I30" s="303"/>
      <c r="J30" s="307" t="str">
        <f>_xlfn.IFNA(VLOOKUP(Table1[[#This Row],[Wire Code]], 'Table Reference'!$Z$6:$AB$111, 3,FALSE), "-")</f>
        <v>-</v>
      </c>
      <c r="K30" s="307" t="str">
        <f>_xlfn.IFNA(VLOOKUP(VLOOKUP(Table1[[#This Row],[Wire Code]], 'Table Reference'!$Z$6:$AA$111, 2,FALSE), 'Table Reference'!$AD$6:$AE$26, 2, FALSE), "-")</f>
        <v>-</v>
      </c>
      <c r="L30" s="305"/>
      <c r="M30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0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0" s="299" t="str">
        <f>IFERROR(Table1[[#This Row],[k]]*Table1[[#This Row],[D]]*Table1[[#This Row],[I]]*(((Table1[[#This Row],[R]]*0.85)/305)+((Table1[[#This Row],[X]]*0.53)/305))/Table1[[#This Row],[n]], "-")</f>
        <v>-</v>
      </c>
      <c r="P30" s="301" t="str">
        <f>IFERROR(Table1[[#This Row],[Voltage Drop]]/Table1[[#This Row],[Column1]], "-")</f>
        <v>-</v>
      </c>
    </row>
    <row r="31" spans="2:16" ht="14.25" customHeight="1" x14ac:dyDescent="0.3">
      <c r="B31" s="211">
        <v>15</v>
      </c>
      <c r="C31" s="303"/>
      <c r="D31" s="303"/>
      <c r="E31" s="293" t="str">
        <f>_xlfn.IFNA(VLOOKUP(Table1[[#This Row],[Phase]],$J$2:$K$4, 2,FALSE), "-")</f>
        <v>-</v>
      </c>
      <c r="F31" s="303"/>
      <c r="G31" s="303"/>
      <c r="H31" s="303"/>
      <c r="I31" s="303"/>
      <c r="J31" s="307" t="str">
        <f>_xlfn.IFNA(VLOOKUP(Table1[[#This Row],[Wire Code]], 'Table Reference'!$Z$6:$AB$111, 3,FALSE), "-")</f>
        <v>-</v>
      </c>
      <c r="K31" s="307" t="str">
        <f>_xlfn.IFNA(VLOOKUP(VLOOKUP(Table1[[#This Row],[Wire Code]], 'Table Reference'!$Z$6:$AA$111, 2,FALSE), 'Table Reference'!$AD$6:$AE$26, 2, FALSE), "-")</f>
        <v>-</v>
      </c>
      <c r="L31" s="305"/>
      <c r="M31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1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1" s="299" t="str">
        <f>IFERROR(Table1[[#This Row],[k]]*Table1[[#This Row],[D]]*Table1[[#This Row],[I]]*(((Table1[[#This Row],[R]]*0.85)/305)+((Table1[[#This Row],[X]]*0.53)/305))/Table1[[#This Row],[n]], "-")</f>
        <v>-</v>
      </c>
      <c r="P31" s="301" t="str">
        <f>IFERROR(Table1[[#This Row],[Voltage Drop]]/Table1[[#This Row],[Column1]], "-")</f>
        <v>-</v>
      </c>
    </row>
    <row r="32" spans="2:16" ht="14.25" customHeight="1" x14ac:dyDescent="0.3">
      <c r="B32" s="211">
        <v>16</v>
      </c>
      <c r="C32" s="303"/>
      <c r="D32" s="303"/>
      <c r="E32" s="293" t="str">
        <f>_xlfn.IFNA(VLOOKUP(Table1[[#This Row],[Phase]],$J$2:$K$4, 2,FALSE), "-")</f>
        <v>-</v>
      </c>
      <c r="F32" s="303"/>
      <c r="G32" s="303"/>
      <c r="H32" s="303"/>
      <c r="I32" s="303"/>
      <c r="J32" s="307" t="str">
        <f>_xlfn.IFNA(VLOOKUP(Table1[[#This Row],[Wire Code]], 'Table Reference'!$Z$6:$AB$111, 3,FALSE), "-")</f>
        <v>-</v>
      </c>
      <c r="K32" s="307" t="str">
        <f>_xlfn.IFNA(VLOOKUP(VLOOKUP(Table1[[#This Row],[Wire Code]], 'Table Reference'!$Z$6:$AA$111, 2,FALSE), 'Table Reference'!$AD$6:$AE$26, 2, FALSE), "-")</f>
        <v>-</v>
      </c>
      <c r="L32" s="305"/>
      <c r="M32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2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2" s="299" t="str">
        <f>IFERROR(Table1[[#This Row],[k]]*Table1[[#This Row],[D]]*Table1[[#This Row],[I]]*(((Table1[[#This Row],[R]]*0.85)/305)+((Table1[[#This Row],[X]]*0.53)/305))/Table1[[#This Row],[n]], "-")</f>
        <v>-</v>
      </c>
      <c r="P32" s="301" t="str">
        <f>IFERROR(Table1[[#This Row],[Voltage Drop]]/Table1[[#This Row],[Column1]], "-")</f>
        <v>-</v>
      </c>
    </row>
    <row r="33" spans="2:16" ht="14.25" customHeight="1" x14ac:dyDescent="0.3">
      <c r="B33" s="211">
        <v>17</v>
      </c>
      <c r="C33" s="303"/>
      <c r="D33" s="303"/>
      <c r="E33" s="293" t="str">
        <f>_xlfn.IFNA(VLOOKUP(Table1[[#This Row],[Phase]],$J$2:$K$4, 2,FALSE), "-")</f>
        <v>-</v>
      </c>
      <c r="F33" s="303"/>
      <c r="G33" s="303"/>
      <c r="H33" s="303"/>
      <c r="I33" s="303"/>
      <c r="J33" s="307" t="str">
        <f>_xlfn.IFNA(VLOOKUP(Table1[[#This Row],[Wire Code]], 'Table Reference'!$Z$6:$AB$111, 3,FALSE), "-")</f>
        <v>-</v>
      </c>
      <c r="K33" s="307" t="str">
        <f>_xlfn.IFNA(VLOOKUP(VLOOKUP(Table1[[#This Row],[Wire Code]], 'Table Reference'!$Z$6:$AA$111, 2,FALSE), 'Table Reference'!$AD$6:$AE$26, 2, FALSE), "-")</f>
        <v>-</v>
      </c>
      <c r="L33" s="305"/>
      <c r="M33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3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3" s="299" t="str">
        <f>IFERROR(Table1[[#This Row],[k]]*Table1[[#This Row],[D]]*Table1[[#This Row],[I]]*(((Table1[[#This Row],[R]]*0.85)/305)+((Table1[[#This Row],[X]]*0.53)/305))/Table1[[#This Row],[n]], "-")</f>
        <v>-</v>
      </c>
      <c r="P33" s="301" t="str">
        <f>IFERROR(Table1[[#This Row],[Voltage Drop]]/Table1[[#This Row],[Column1]], "-")</f>
        <v>-</v>
      </c>
    </row>
    <row r="34" spans="2:16" ht="14.25" customHeight="1" x14ac:dyDescent="0.3">
      <c r="B34" s="211">
        <v>18</v>
      </c>
      <c r="C34" s="303"/>
      <c r="D34" s="303"/>
      <c r="E34" s="293" t="str">
        <f>_xlfn.IFNA(VLOOKUP(Table1[[#This Row],[Phase]],$J$2:$K$4, 2,FALSE), "-")</f>
        <v>-</v>
      </c>
      <c r="F34" s="303"/>
      <c r="G34" s="303"/>
      <c r="H34" s="303"/>
      <c r="I34" s="303"/>
      <c r="J34" s="307" t="str">
        <f>_xlfn.IFNA(VLOOKUP(Table1[[#This Row],[Wire Code]], 'Table Reference'!$Z$6:$AB$111, 3,FALSE), "-")</f>
        <v>-</v>
      </c>
      <c r="K34" s="307" t="str">
        <f>_xlfn.IFNA(VLOOKUP(VLOOKUP(Table1[[#This Row],[Wire Code]], 'Table Reference'!$Z$6:$AA$111, 2,FALSE), 'Table Reference'!$AD$6:$AE$26, 2, FALSE), "-")</f>
        <v>-</v>
      </c>
      <c r="L34" s="305"/>
      <c r="M34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4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4" s="299" t="str">
        <f>IFERROR(Table1[[#This Row],[k]]*Table1[[#This Row],[D]]*Table1[[#This Row],[I]]*(((Table1[[#This Row],[R]]*0.85)/305)+((Table1[[#This Row],[X]]*0.53)/305))/Table1[[#This Row],[n]], "-")</f>
        <v>-</v>
      </c>
      <c r="P34" s="301" t="str">
        <f>IFERROR(Table1[[#This Row],[Voltage Drop]]/Table1[[#This Row],[Column1]], "-")</f>
        <v>-</v>
      </c>
    </row>
    <row r="35" spans="2:16" ht="14.25" customHeight="1" x14ac:dyDescent="0.3">
      <c r="B35" s="211">
        <v>19</v>
      </c>
      <c r="C35" s="303"/>
      <c r="D35" s="303"/>
      <c r="E35" s="293" t="str">
        <f>_xlfn.IFNA(VLOOKUP(Table1[[#This Row],[Phase]],$J$2:$K$4, 2,FALSE), "-")</f>
        <v>-</v>
      </c>
      <c r="F35" s="303"/>
      <c r="G35" s="303"/>
      <c r="H35" s="303"/>
      <c r="I35" s="303"/>
      <c r="J35" s="307" t="str">
        <f>_xlfn.IFNA(VLOOKUP(Table1[[#This Row],[Wire Code]], 'Table Reference'!$Z$6:$AB$111, 3,FALSE), "-")</f>
        <v>-</v>
      </c>
      <c r="K35" s="307" t="str">
        <f>_xlfn.IFNA(VLOOKUP(VLOOKUP(Table1[[#This Row],[Wire Code]], 'Table Reference'!$Z$6:$AA$111, 2,FALSE), 'Table Reference'!$AD$6:$AE$26, 2, FALSE), "-")</f>
        <v>-</v>
      </c>
      <c r="L35" s="305"/>
      <c r="M35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5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5" s="299" t="str">
        <f>IFERROR(Table1[[#This Row],[k]]*Table1[[#This Row],[D]]*Table1[[#This Row],[I]]*(((Table1[[#This Row],[R]]*0.85)/305)+((Table1[[#This Row],[X]]*0.53)/305))/Table1[[#This Row],[n]], "-")</f>
        <v>-</v>
      </c>
      <c r="P35" s="301" t="str">
        <f>IFERROR(Table1[[#This Row],[Voltage Drop]]/Table1[[#This Row],[Column1]], "-")</f>
        <v>-</v>
      </c>
    </row>
    <row r="36" spans="2:16" ht="14.25" customHeight="1" x14ac:dyDescent="0.3">
      <c r="B36" s="211">
        <v>20</v>
      </c>
      <c r="C36" s="303"/>
      <c r="D36" s="303"/>
      <c r="E36" s="293" t="str">
        <f>_xlfn.IFNA(VLOOKUP(Table1[[#This Row],[Phase]],$J$2:$K$4, 2,FALSE), "-")</f>
        <v>-</v>
      </c>
      <c r="F36" s="303"/>
      <c r="G36" s="303"/>
      <c r="H36" s="303"/>
      <c r="I36" s="303"/>
      <c r="J36" s="307" t="str">
        <f>_xlfn.IFNA(VLOOKUP(Table1[[#This Row],[Wire Code]], 'Table Reference'!$Z$6:$AB$111, 3,FALSE), "-")</f>
        <v>-</v>
      </c>
      <c r="K36" s="307" t="str">
        <f>_xlfn.IFNA(VLOOKUP(VLOOKUP(Table1[[#This Row],[Wire Code]], 'Table Reference'!$Z$6:$AA$111, 2,FALSE), 'Table Reference'!$AD$6:$AE$26, 2, FALSE), "-")</f>
        <v>-</v>
      </c>
      <c r="L36" s="305"/>
      <c r="M36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6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6" s="299" t="str">
        <f>IFERROR(Table1[[#This Row],[k]]*Table1[[#This Row],[D]]*Table1[[#This Row],[I]]*(((Table1[[#This Row],[R]]*0.85)/305)+((Table1[[#This Row],[X]]*0.53)/305))/Table1[[#This Row],[n]], "-")</f>
        <v>-</v>
      </c>
      <c r="P36" s="301" t="str">
        <f>IFERROR(Table1[[#This Row],[Voltage Drop]]/Table1[[#This Row],[Column1]], "-")</f>
        <v>-</v>
      </c>
    </row>
    <row r="37" spans="2:16" ht="14.25" customHeight="1" x14ac:dyDescent="0.3">
      <c r="B37" s="211">
        <v>21</v>
      </c>
      <c r="C37" s="303"/>
      <c r="D37" s="303"/>
      <c r="E37" s="293" t="str">
        <f>_xlfn.IFNA(VLOOKUP(Table1[[#This Row],[Phase]],$J$2:$K$4, 2,FALSE), "-")</f>
        <v>-</v>
      </c>
      <c r="F37" s="303"/>
      <c r="G37" s="303"/>
      <c r="H37" s="303"/>
      <c r="I37" s="303"/>
      <c r="J37" s="307" t="str">
        <f>_xlfn.IFNA(VLOOKUP(Table1[[#This Row],[Wire Code]], 'Table Reference'!$Z$6:$AB$111, 3,FALSE), "-")</f>
        <v>-</v>
      </c>
      <c r="K37" s="307" t="str">
        <f>_xlfn.IFNA(VLOOKUP(VLOOKUP(Table1[[#This Row],[Wire Code]], 'Table Reference'!$Z$6:$AA$111, 2,FALSE), 'Table Reference'!$AD$6:$AE$26, 2, FALSE), "-")</f>
        <v>-</v>
      </c>
      <c r="L37" s="305"/>
      <c r="M37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7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7" s="299" t="str">
        <f>IFERROR(Table1[[#This Row],[k]]*Table1[[#This Row],[D]]*Table1[[#This Row],[I]]*(((Table1[[#This Row],[R]]*0.85)/305)+((Table1[[#This Row],[X]]*0.53)/305))/Table1[[#This Row],[n]], "-")</f>
        <v>-</v>
      </c>
      <c r="P37" s="301" t="str">
        <f>IFERROR(Table1[[#This Row],[Voltage Drop]]/Table1[[#This Row],[Column1]], "-")</f>
        <v>-</v>
      </c>
    </row>
    <row r="38" spans="2:16" ht="14.25" customHeight="1" x14ac:dyDescent="0.3">
      <c r="B38" s="211">
        <v>22</v>
      </c>
      <c r="C38" s="303"/>
      <c r="D38" s="303"/>
      <c r="E38" s="293" t="str">
        <f>_xlfn.IFNA(VLOOKUP(Table1[[#This Row],[Phase]],$J$2:$K$4, 2,FALSE), "-")</f>
        <v>-</v>
      </c>
      <c r="F38" s="303"/>
      <c r="G38" s="303"/>
      <c r="H38" s="303"/>
      <c r="I38" s="303"/>
      <c r="J38" s="307" t="str">
        <f>_xlfn.IFNA(VLOOKUP(Table1[[#This Row],[Wire Code]], 'Table Reference'!$Z$6:$AB$111, 3,FALSE), "-")</f>
        <v>-</v>
      </c>
      <c r="K38" s="307" t="str">
        <f>_xlfn.IFNA(VLOOKUP(VLOOKUP(Table1[[#This Row],[Wire Code]], 'Table Reference'!$Z$6:$AA$111, 2,FALSE), 'Table Reference'!$AD$6:$AE$26, 2, FALSE), "-")</f>
        <v>-</v>
      </c>
      <c r="L38" s="305"/>
      <c r="M38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8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8" s="299" t="str">
        <f>IFERROR(Table1[[#This Row],[k]]*Table1[[#This Row],[D]]*Table1[[#This Row],[I]]*(((Table1[[#This Row],[R]]*0.85)/305)+((Table1[[#This Row],[X]]*0.53)/305))/Table1[[#This Row],[n]], "-")</f>
        <v>-</v>
      </c>
      <c r="P38" s="301" t="str">
        <f>IFERROR(Table1[[#This Row],[Voltage Drop]]/Table1[[#This Row],[Column1]], "-")</f>
        <v>-</v>
      </c>
    </row>
    <row r="39" spans="2:16" ht="14.25" customHeight="1" x14ac:dyDescent="0.3">
      <c r="B39" s="211">
        <v>23</v>
      </c>
      <c r="C39" s="303"/>
      <c r="D39" s="303"/>
      <c r="E39" s="293" t="str">
        <f>_xlfn.IFNA(VLOOKUP(Table1[[#This Row],[Phase]],$J$2:$K$4, 2,FALSE), "-")</f>
        <v>-</v>
      </c>
      <c r="F39" s="303"/>
      <c r="G39" s="303"/>
      <c r="H39" s="303"/>
      <c r="I39" s="303"/>
      <c r="J39" s="307" t="str">
        <f>_xlfn.IFNA(VLOOKUP(Table1[[#This Row],[Wire Code]], 'Table Reference'!$Z$6:$AB$111, 3,FALSE), "-")</f>
        <v>-</v>
      </c>
      <c r="K39" s="307" t="str">
        <f>_xlfn.IFNA(VLOOKUP(VLOOKUP(Table1[[#This Row],[Wire Code]], 'Table Reference'!$Z$6:$AA$111, 2,FALSE), 'Table Reference'!$AD$6:$AE$26, 2, FALSE), "-")</f>
        <v>-</v>
      </c>
      <c r="L39" s="305"/>
      <c r="M39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39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39" s="299" t="str">
        <f>IFERROR(Table1[[#This Row],[k]]*Table1[[#This Row],[D]]*Table1[[#This Row],[I]]*(((Table1[[#This Row],[R]]*0.85)/305)+((Table1[[#This Row],[X]]*0.53)/305))/Table1[[#This Row],[n]], "-")</f>
        <v>-</v>
      </c>
      <c r="P39" s="301" t="str">
        <f>IFERROR(Table1[[#This Row],[Voltage Drop]]/Table1[[#This Row],[Column1]], "-")</f>
        <v>-</v>
      </c>
    </row>
    <row r="40" spans="2:16" ht="14.25" customHeight="1" x14ac:dyDescent="0.3">
      <c r="B40" s="211">
        <v>24</v>
      </c>
      <c r="C40" s="303"/>
      <c r="D40" s="303"/>
      <c r="E40" s="293" t="str">
        <f>_xlfn.IFNA(VLOOKUP(Table1[[#This Row],[Phase]],$J$2:$K$4, 2,FALSE), "-")</f>
        <v>-</v>
      </c>
      <c r="F40" s="303"/>
      <c r="G40" s="303"/>
      <c r="H40" s="303"/>
      <c r="I40" s="303"/>
      <c r="J40" s="307" t="str">
        <f>_xlfn.IFNA(VLOOKUP(Table1[[#This Row],[Wire Code]], 'Table Reference'!$Z$6:$AB$111, 3,FALSE), "-")</f>
        <v>-</v>
      </c>
      <c r="K40" s="307" t="str">
        <f>_xlfn.IFNA(VLOOKUP(VLOOKUP(Table1[[#This Row],[Wire Code]], 'Table Reference'!$Z$6:$AA$111, 2,FALSE), 'Table Reference'!$AD$6:$AE$26, 2, FALSE), "-")</f>
        <v>-</v>
      </c>
      <c r="L40" s="305"/>
      <c r="M40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40" s="307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40" s="299" t="str">
        <f>IFERROR(Table1[[#This Row],[k]]*Table1[[#This Row],[D]]*Table1[[#This Row],[I]]*(((Table1[[#This Row],[R]]*0.85)/305)+((Table1[[#This Row],[X]]*0.53)/305))/Table1[[#This Row],[n]], "-")</f>
        <v>-</v>
      </c>
      <c r="P40" s="301" t="str">
        <f>IFERROR(Table1[[#This Row],[Voltage Drop]]/Table1[[#This Row],[Column1]], "-")</f>
        <v>-</v>
      </c>
    </row>
    <row r="41" spans="2:16" ht="14.25" customHeight="1" x14ac:dyDescent="0.3">
      <c r="B41" s="297">
        <v>25</v>
      </c>
      <c r="C41" s="304"/>
      <c r="D41" s="304"/>
      <c r="E41" s="298" t="str">
        <f>_xlfn.IFNA(VLOOKUP(Table1[[#This Row],[Phase]],$J$2:$K$4, 2,FALSE), "-")</f>
        <v>-</v>
      </c>
      <c r="F41" s="304"/>
      <c r="G41" s="304"/>
      <c r="H41" s="304"/>
      <c r="I41" s="304"/>
      <c r="J41" s="308" t="str">
        <f>_xlfn.IFNA(VLOOKUP(Table1[[#This Row],[Wire Code]], 'Table Reference'!$Z$6:$AB$111, 3,FALSE), "-")</f>
        <v>-</v>
      </c>
      <c r="K41" s="308" t="str">
        <f>_xlfn.IFNA(VLOOKUP(VLOOKUP(Table1[[#This Row],[Wire Code]], 'Table Reference'!$Z$6:$AA$111, 2,FALSE), 'Table Reference'!$AD$6:$AE$26, 2, FALSE), "-")</f>
        <v>-</v>
      </c>
      <c r="L41" s="306"/>
      <c r="M41" s="307" t="str">
        <f>_xlfn.IFNA(VLOOKUP(Table1[[#This Row],[Wire Dia (mm²)]], 'Table Reference'!$B$7:$K$27, IF(Table1[[#This Row],[Conductor Type]]="CU", IF(Table1[[#This Row],[Conduit]]="PVC", 5, 7), IF(Table1[[#This Row],[Conduit]]="PVC", 8, 10)),FALSE), "-")</f>
        <v>-</v>
      </c>
      <c r="N41" s="308" t="str">
        <f>_xlfn.IFNA(_xlfn.IFS(Table1[[#This Row],[Conduit]]="PVC", VLOOKUP(Table1[[#This Row],[Wire Dia (mm²)]], 'Table Reference'!$B$7:$E$27, 3, FALSE), Table1[[#This Row],[Conduit]]="Metal", VLOOKUP(Table1[[#This Row],[Wire Dia (mm²)]], 'Table Reference'!$B$7:$E$27, 4, FALSE)), "-")</f>
        <v>-</v>
      </c>
      <c r="O41" s="299" t="str">
        <f>IFERROR(Table1[[#This Row],[k]]*Table1[[#This Row],[D]]*Table1[[#This Row],[I]]*(((Table1[[#This Row],[R]]*0.85)/305)+((Table1[[#This Row],[X]]*0.53)/305))/Table1[[#This Row],[n]], "-")</f>
        <v>-</v>
      </c>
      <c r="P41" s="301" t="str">
        <f>IFERROR(Table1[[#This Row],[Voltage Drop]]/Table1[[#This Row],[Column1]], "-")</f>
        <v>-</v>
      </c>
    </row>
    <row r="42" spans="2:16" ht="14.25" customHeight="1" x14ac:dyDescent="0.3"/>
    <row r="43" spans="2:16" ht="14.25" customHeight="1" x14ac:dyDescent="0.3"/>
    <row r="44" spans="2:16" ht="14.25" customHeight="1" x14ac:dyDescent="0.3"/>
    <row r="45" spans="2:16" ht="14.25" customHeight="1" x14ac:dyDescent="0.3"/>
    <row r="46" spans="2:16" ht="14.25" customHeight="1" x14ac:dyDescent="0.3"/>
    <row r="47" spans="2:16" ht="14.25" customHeight="1" x14ac:dyDescent="0.3"/>
    <row r="48" spans="2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</sheetData>
  <sheetProtection algorithmName="SHA-512" hashValue="OE16H7ocKEwN65vooPGZUGH6CoVKFVm9uiHeokhbEZ+syZXDe870+xX0pgmviK/wsHzQlCgghKC1XubTq5xUOw==" saltValue="Ztv4dogsApx0njb1zNsJjA==" spinCount="100000" sheet="1" objects="1" scenarios="1"/>
  <phoneticPr fontId="6" type="noConversion"/>
  <dataValidations count="2">
    <dataValidation type="list" allowBlank="1" showInputMessage="1" showErrorMessage="1" sqref="C17:C41" xr:uid="{5D0011FE-C96F-40B9-9EDF-F2239BA7EB21}">
      <formula1>$J$3:$J$4</formula1>
    </dataValidation>
    <dataValidation type="list" allowBlank="1" showInputMessage="1" showErrorMessage="1" sqref="L17:L41" xr:uid="{C35E7EB5-C3D3-4C5D-A72F-A65040491369}">
      <formula1>$J$7:$J$8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4D8DF4-9EE7-435D-AAC5-CBF7792C0D0F}">
          <x14:formula1>
            <xm:f>'Table Reference'!$Z$6:$Z$111</xm:f>
          </x14:formula1>
          <xm:sqref>I17:I41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AA104"/>
  <sheetViews>
    <sheetView zoomScale="85" zoomScaleNormal="85" workbookViewId="0">
      <selection activeCell="K17" sqref="K17"/>
    </sheetView>
  </sheetViews>
  <sheetFormatPr defaultColWidth="14.44140625" defaultRowHeight="15" customHeight="1" x14ac:dyDescent="0.3"/>
  <cols>
    <col min="1" max="1" width="8.6640625" customWidth="1"/>
    <col min="2" max="7" width="14" customWidth="1"/>
    <col min="8" max="8" width="16.6640625" bestFit="1" customWidth="1"/>
    <col min="9" max="9" width="18.109375" bestFit="1" customWidth="1"/>
    <col min="10" max="10" width="18" bestFit="1" customWidth="1"/>
    <col min="11" max="11" width="17.109375" bestFit="1" customWidth="1"/>
    <col min="12" max="12" width="14.109375" customWidth="1"/>
    <col min="13" max="13" width="13.77734375" customWidth="1"/>
    <col min="14" max="17" width="8.6640625" customWidth="1"/>
    <col min="18" max="18" width="13.6640625" customWidth="1"/>
    <col min="19" max="19" width="13.77734375" bestFit="1" customWidth="1"/>
    <col min="20" max="20" width="1.77734375" customWidth="1"/>
    <col min="21" max="21" width="34.77734375" customWidth="1"/>
    <col min="22" max="27" width="8.6640625" customWidth="1"/>
  </cols>
  <sheetData>
    <row r="1" spans="2:19" ht="14.25" customHeight="1" x14ac:dyDescent="0.3"/>
    <row r="2" spans="2:19" ht="14.25" customHeight="1" x14ac:dyDescent="0.3">
      <c r="B2" s="125" t="s">
        <v>390</v>
      </c>
    </row>
    <row r="3" spans="2:19" ht="14.25" customHeight="1" x14ac:dyDescent="0.3">
      <c r="J3" s="220" t="s">
        <v>391</v>
      </c>
      <c r="K3" s="221"/>
      <c r="L3" s="283"/>
      <c r="M3" s="157"/>
      <c r="R3" s="337"/>
      <c r="S3" s="297"/>
    </row>
    <row r="4" spans="2:19" ht="14.25" customHeight="1" x14ac:dyDescent="0.3">
      <c r="B4" s="125" t="s">
        <v>392</v>
      </c>
      <c r="J4" s="222"/>
      <c r="K4" s="172" t="s">
        <v>393</v>
      </c>
      <c r="L4" s="284" t="s">
        <v>394</v>
      </c>
      <c r="M4" s="166"/>
      <c r="R4" s="338" t="s">
        <v>641</v>
      </c>
      <c r="S4" s="339" t="s">
        <v>642</v>
      </c>
    </row>
    <row r="5" spans="2:19" ht="14.25" customHeight="1" x14ac:dyDescent="0.3">
      <c r="B5" s="125" t="s">
        <v>395</v>
      </c>
      <c r="J5" s="222">
        <v>3</v>
      </c>
      <c r="K5" s="172">
        <v>1.732</v>
      </c>
      <c r="L5" s="284">
        <v>1.732</v>
      </c>
      <c r="M5" s="158"/>
      <c r="R5" s="340"/>
      <c r="S5" s="341"/>
    </row>
    <row r="6" spans="2:19" ht="14.25" customHeight="1" x14ac:dyDescent="0.3">
      <c r="B6" s="125" t="s">
        <v>396</v>
      </c>
      <c r="J6" s="223">
        <v>1</v>
      </c>
      <c r="K6" s="224">
        <v>1</v>
      </c>
      <c r="L6" s="240">
        <v>2</v>
      </c>
      <c r="M6" s="158"/>
      <c r="R6" s="342">
        <v>18.12</v>
      </c>
      <c r="S6" s="343">
        <f>R6*3.28084</f>
        <v>59.4488208</v>
      </c>
    </row>
    <row r="7" spans="2:19" ht="14.25" customHeight="1" x14ac:dyDescent="0.3">
      <c r="B7" s="125" t="s">
        <v>397</v>
      </c>
    </row>
    <row r="8" spans="2:19" ht="14.25" customHeight="1" x14ac:dyDescent="0.3">
      <c r="B8" s="125" t="s">
        <v>398</v>
      </c>
      <c r="R8" s="337"/>
      <c r="S8" s="297"/>
    </row>
    <row r="9" spans="2:19" ht="14.25" customHeight="1" x14ac:dyDescent="0.3">
      <c r="B9" s="125" t="s">
        <v>399</v>
      </c>
      <c r="R9" s="338" t="s">
        <v>642</v>
      </c>
      <c r="S9" s="339" t="s">
        <v>641</v>
      </c>
    </row>
    <row r="10" spans="2:19" ht="14.25" customHeight="1" x14ac:dyDescent="0.3">
      <c r="R10" s="340"/>
      <c r="S10" s="341"/>
    </row>
    <row r="11" spans="2:19" ht="14.25" customHeight="1" x14ac:dyDescent="0.3">
      <c r="B11" s="125" t="s">
        <v>400</v>
      </c>
      <c r="R11" s="342">
        <v>95.14</v>
      </c>
      <c r="S11" s="343">
        <f>R11/3.28084</f>
        <v>28.998671072042526</v>
      </c>
    </row>
    <row r="12" spans="2:19" ht="14.25" customHeight="1" x14ac:dyDescent="0.3">
      <c r="B12" s="125" t="s">
        <v>401</v>
      </c>
      <c r="J12" t="s">
        <v>577</v>
      </c>
    </row>
    <row r="13" spans="2:19" ht="14.25" customHeight="1" x14ac:dyDescent="0.3">
      <c r="B13" s="125" t="s">
        <v>402</v>
      </c>
      <c r="J13" t="s">
        <v>578</v>
      </c>
    </row>
    <row r="14" spans="2:19" ht="14.25" customHeight="1" x14ac:dyDescent="0.3">
      <c r="B14" s="125" t="s">
        <v>403</v>
      </c>
      <c r="J14" t="s">
        <v>579</v>
      </c>
    </row>
    <row r="15" spans="2:19" ht="14.25" customHeight="1" x14ac:dyDescent="0.3">
      <c r="B15" s="125" t="s">
        <v>404</v>
      </c>
      <c r="J15" t="s">
        <v>580</v>
      </c>
    </row>
    <row r="16" spans="2:19" ht="14.25" customHeight="1" x14ac:dyDescent="0.3">
      <c r="B16" s="125" t="s">
        <v>405</v>
      </c>
      <c r="J16" t="s">
        <v>581</v>
      </c>
    </row>
    <row r="17" spans="2:27" ht="14.25" customHeight="1" x14ac:dyDescent="0.3">
      <c r="B17" s="125" t="s">
        <v>406</v>
      </c>
    </row>
    <row r="18" spans="2:27" ht="14.25" customHeight="1" x14ac:dyDescent="0.3">
      <c r="B18" s="125" t="s">
        <v>407</v>
      </c>
    </row>
    <row r="19" spans="2:27" ht="14.25" customHeight="1" x14ac:dyDescent="0.3">
      <c r="B19" s="125" t="s">
        <v>408</v>
      </c>
    </row>
    <row r="20" spans="2:27" ht="14.25" customHeight="1" x14ac:dyDescent="0.3">
      <c r="B20" s="125" t="s">
        <v>409</v>
      </c>
    </row>
    <row r="21" spans="2:27" ht="14.25" customHeight="1" x14ac:dyDescent="0.3">
      <c r="L21" s="125" t="s">
        <v>410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</row>
    <row r="22" spans="2:27" ht="14.25" customHeight="1" x14ac:dyDescent="0.3"/>
    <row r="23" spans="2:27" ht="14.25" customHeight="1" x14ac:dyDescent="0.3"/>
    <row r="24" spans="2:27" ht="14.25" customHeight="1" x14ac:dyDescent="0.3">
      <c r="B24" s="126" t="s">
        <v>553</v>
      </c>
      <c r="C24" s="127" t="s">
        <v>12</v>
      </c>
      <c r="D24" s="127" t="s">
        <v>411</v>
      </c>
      <c r="E24" s="127" t="s">
        <v>391</v>
      </c>
      <c r="F24" s="127" t="s">
        <v>412</v>
      </c>
      <c r="G24" s="127" t="s">
        <v>413</v>
      </c>
      <c r="H24" s="127" t="s">
        <v>414</v>
      </c>
      <c r="I24" s="128" t="s">
        <v>415</v>
      </c>
      <c r="J24" s="130"/>
    </row>
    <row r="25" spans="2:27" ht="14.25" customHeight="1" x14ac:dyDescent="0.3">
      <c r="B25" s="129"/>
      <c r="C25" s="130"/>
      <c r="D25" s="130"/>
      <c r="E25" s="130"/>
      <c r="F25" s="130"/>
      <c r="G25" s="130"/>
      <c r="H25" s="130"/>
      <c r="I25" s="131"/>
      <c r="J25" s="130"/>
    </row>
    <row r="26" spans="2:27" ht="14.25" customHeight="1" x14ac:dyDescent="0.3">
      <c r="B26" s="132">
        <v>0</v>
      </c>
      <c r="C26" s="246">
        <v>75</v>
      </c>
      <c r="D26" s="246">
        <v>230</v>
      </c>
      <c r="E26" s="246">
        <v>3</v>
      </c>
      <c r="F26" s="171">
        <f>_xlfn.IFNA(_xlfn.IFS(E26=1, (C26*1000)/D26, E26=3, (C26*1000)/(D26*1.732)), "-")</f>
        <v>188.27191485088863</v>
      </c>
      <c r="G26" s="246">
        <v>1.1000000000000001</v>
      </c>
      <c r="H26" s="171">
        <f>100/G26</f>
        <v>90.909090909090907</v>
      </c>
      <c r="I26" s="245">
        <f>F26*H26</f>
        <v>17115.628622808057</v>
      </c>
      <c r="J26" s="130"/>
    </row>
    <row r="27" spans="2:27" ht="14.25" customHeight="1" x14ac:dyDescent="0.3">
      <c r="B27" s="130"/>
      <c r="C27" s="130"/>
      <c r="D27" s="130"/>
      <c r="E27" s="130"/>
      <c r="F27" s="130"/>
      <c r="G27" s="130"/>
      <c r="H27" s="130"/>
      <c r="I27" s="130"/>
      <c r="J27" s="130"/>
    </row>
    <row r="28" spans="2:27" ht="14.25" customHeight="1" x14ac:dyDescent="0.3">
      <c r="B28" s="240" t="s">
        <v>416</v>
      </c>
      <c r="C28" s="241" t="s">
        <v>391</v>
      </c>
      <c r="D28" s="241" t="s">
        <v>394</v>
      </c>
      <c r="E28" s="241" t="s">
        <v>417</v>
      </c>
      <c r="F28" s="241" t="s">
        <v>554</v>
      </c>
      <c r="G28" s="241" t="s">
        <v>418</v>
      </c>
      <c r="H28" s="241" t="s">
        <v>419</v>
      </c>
      <c r="I28" s="241" t="s">
        <v>612</v>
      </c>
      <c r="J28" s="321" t="s">
        <v>552</v>
      </c>
      <c r="K28" s="241" t="s">
        <v>597</v>
      </c>
      <c r="L28" s="241" t="s">
        <v>550</v>
      </c>
      <c r="M28" s="321" t="s">
        <v>598</v>
      </c>
      <c r="N28" s="241" t="s">
        <v>420</v>
      </c>
      <c r="O28" s="241" t="s">
        <v>421</v>
      </c>
      <c r="P28" s="241" t="s">
        <v>411</v>
      </c>
      <c r="Q28" s="241" t="s">
        <v>549</v>
      </c>
      <c r="R28" s="241" t="s">
        <v>414</v>
      </c>
      <c r="S28" s="242" t="s">
        <v>548</v>
      </c>
      <c r="U28" s="165" t="s">
        <v>640</v>
      </c>
    </row>
    <row r="29" spans="2:27" ht="14.25" customHeight="1" x14ac:dyDescent="0.3">
      <c r="B29" s="288">
        <v>1</v>
      </c>
      <c r="C29" s="247">
        <v>3</v>
      </c>
      <c r="D29" s="243">
        <f>IF(COUNTIF($J$5:$J$6, C29)&gt;0, VLOOKUP(Table2[[#This Row],[Phase]], $J$5:$L$6, 3,FALSE), "-")</f>
        <v>1.732</v>
      </c>
      <c r="E29" s="247">
        <v>26.24672</v>
      </c>
      <c r="F29" s="247"/>
      <c r="G29" s="287">
        <f>I26</f>
        <v>17115.628622808057</v>
      </c>
      <c r="H29" s="329" t="s">
        <v>203</v>
      </c>
      <c r="I29" s="285">
        <f>_xlfn.IFNA(VLOOKUP(VLOOKUP(Table2[[#This Row],[Wire Code]], 'Table Reference'!$Z$6:$AA$135, 2, FALSE), 'Table Reference'!$AD$6:$AE$38, 2,FALSE), "-")</f>
        <v>80</v>
      </c>
      <c r="J29" s="285" t="str">
        <f>_xlfn.IFNA(VLOOKUP(Table2[[#This Row],[Wire Code]], 'Table Reference'!$Z$6:$AB$135, 3, FALSE), "-")</f>
        <v>CU</v>
      </c>
      <c r="K29" s="247" t="s">
        <v>582</v>
      </c>
      <c r="L29" s="247" t="s">
        <v>584</v>
      </c>
      <c r="M29" s="247" t="s">
        <v>517</v>
      </c>
      <c r="N29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12844</v>
      </c>
      <c r="O29" s="247">
        <v>1</v>
      </c>
      <c r="P29" s="247">
        <v>230</v>
      </c>
      <c r="Q29" s="309">
        <f>IFERROR((Table2[[#This Row],[k]]*Table2[[#This Row],[L]]*Table2[[#This Row],[I(SC) Old]])/(Table2[[#This Row],[C]]*Table2[[#This Row],[n]]*Table2[[#This Row],[V]]), "-")</f>
        <v>0.26338294386632471</v>
      </c>
      <c r="R29" s="309">
        <f>IFERROR(1/(1+Table2[[#This Row],[f]]), "-")</f>
        <v>0.79152564537534831</v>
      </c>
      <c r="S29" s="322">
        <f>IFERROR(_xlfn.IFNA(Table2[[#This Row],[I(SC) Old]]*Table2[[#This Row],[M]], "-"), "-")</f>
        <v>13547.458991672931</v>
      </c>
      <c r="U29" s="336" t="s">
        <v>643</v>
      </c>
    </row>
    <row r="30" spans="2:27" ht="14.25" customHeight="1" x14ac:dyDescent="0.3">
      <c r="B30" s="288">
        <v>2</v>
      </c>
      <c r="C30" s="247">
        <v>1</v>
      </c>
      <c r="D30" s="243">
        <f>IF(COUNTIF($J$5:$J$6, C30)&gt;0, VLOOKUP(Table2[[#This Row],[Phase]], $J$5:$L$6, 3,FALSE), "-")</f>
        <v>2</v>
      </c>
      <c r="E30" s="247">
        <v>59.448799999999999</v>
      </c>
      <c r="F30" s="247">
        <v>1</v>
      </c>
      <c r="G30" s="287">
        <f>_xlfn.IFNA(IF(VLOOKUP(Table2[[#This Row],[Ref Fault '#]], Table2[#All], 18,FALSE)&gt;0, VLOOKUP(Table2[[#This Row],[Ref Fault '#]], Table2[#All], 18,FALSE), "-"), "-")</f>
        <v>13547.458991672931</v>
      </c>
      <c r="H30" s="329" t="s">
        <v>169</v>
      </c>
      <c r="I30" s="285">
        <f>_xlfn.IFNA(VLOOKUP(VLOOKUP(Table2[[#This Row],[Wire Code]], 'Table Reference'!$Z$6:$AA$135, 2, FALSE), 'Table Reference'!$AD$6:$AE$38, 2,FALSE), "-")</f>
        <v>22</v>
      </c>
      <c r="J30" s="285" t="str">
        <f>_xlfn.IFNA(VLOOKUP(Table2[[#This Row],[Wire Code]], 'Table Reference'!$Z$6:$AB$135, 3, FALSE), "-")</f>
        <v>CU</v>
      </c>
      <c r="K30" s="247" t="s">
        <v>582</v>
      </c>
      <c r="L30" s="247" t="s">
        <v>152</v>
      </c>
      <c r="M30" s="247" t="s">
        <v>517</v>
      </c>
      <c r="N30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3826</v>
      </c>
      <c r="O30" s="247">
        <v>1</v>
      </c>
      <c r="P30" s="247">
        <v>230</v>
      </c>
      <c r="Q30" s="309">
        <f>IFERROR((Table2[[#This Row],[k]]*Table2[[#This Row],[L]]*Table2[[#This Row],[I(SC) Old]])/(Table2[[#This Row],[C]]*Table2[[#This Row],[n]]*Table2[[#This Row],[V]]), "-")</f>
        <v>1.8304511013981357</v>
      </c>
      <c r="R30" s="309">
        <f>IFERROR(1/(1+Table2[[#This Row],[f]]), "-")</f>
        <v>0.35330057442293838</v>
      </c>
      <c r="S30" s="322">
        <f>IFERROR(_xlfn.IFNA(Table2[[#This Row],[I(SC) Old]]*Table2[[#This Row],[M]], "-"), "-")</f>
        <v>4786.3250437292481</v>
      </c>
      <c r="U30" s="336" t="s">
        <v>644</v>
      </c>
    </row>
    <row r="31" spans="2:27" ht="14.25" customHeight="1" x14ac:dyDescent="0.3">
      <c r="B31" s="288">
        <v>3</v>
      </c>
      <c r="C31" s="247">
        <v>1</v>
      </c>
      <c r="D31" s="243">
        <f>IF(COUNTIF($J$5:$J$6, C31)&gt;0, VLOOKUP(Table2[[#This Row],[Phase]], $J$5:$L$6, 3,FALSE), "-")</f>
        <v>2</v>
      </c>
      <c r="E31" s="247">
        <v>5.9055999999999997</v>
      </c>
      <c r="F31" s="247">
        <v>2</v>
      </c>
      <c r="G31" s="287">
        <f>_xlfn.IFNA(IF(VLOOKUP(Table2[[#This Row],[Ref Fault '#]], Table2[#All], 18,FALSE)&gt;0, VLOOKUP(Table2[[#This Row],[Ref Fault '#]], Table2[#All], 18,FALSE), "-"), "-")</f>
        <v>4786.3250437292481</v>
      </c>
      <c r="H31" s="329" t="s">
        <v>156</v>
      </c>
      <c r="I31" s="285">
        <f>_xlfn.IFNA(VLOOKUP(VLOOKUP(Table2[[#This Row],[Wire Code]], 'Table Reference'!$Z$6:$AA$135, 2, FALSE), 'Table Reference'!$AD$6:$AE$38, 2,FALSE), "-")</f>
        <v>3.5</v>
      </c>
      <c r="J31" s="285" t="str">
        <f>_xlfn.IFNA(VLOOKUP(Table2[[#This Row],[Wire Code]], 'Table Reference'!$Z$6:$AB$135, 3, FALSE), "-")</f>
        <v>CU</v>
      </c>
      <c r="K31" s="247" t="s">
        <v>582</v>
      </c>
      <c r="L31" s="247" t="s">
        <v>152</v>
      </c>
      <c r="M31" s="247" t="s">
        <v>517</v>
      </c>
      <c r="N31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617</v>
      </c>
      <c r="O31" s="247">
        <v>1</v>
      </c>
      <c r="P31" s="247">
        <v>230</v>
      </c>
      <c r="Q31" s="309">
        <f>IFERROR((Table2[[#This Row],[k]]*Table2[[#This Row],[L]]*Table2[[#This Row],[I(SC) Old]])/(Table2[[#This Row],[C]]*Table2[[#This Row],[n]]*Table2[[#This Row],[V]]), "-")</f>
        <v>0.39836686883584588</v>
      </c>
      <c r="R31" s="309">
        <f>IFERROR(1/(1+Table2[[#This Row],[f]]), "-")</f>
        <v>0.71511991758822901</v>
      </c>
      <c r="S31" s="322">
        <f>IFERROR(_xlfn.IFNA(Table2[[#This Row],[I(SC) Old]]*Table2[[#This Row],[M]], "-"), "-")</f>
        <v>3422.7963708221364</v>
      </c>
      <c r="U31" s="336" t="s">
        <v>645</v>
      </c>
    </row>
    <row r="32" spans="2:27" ht="14.25" customHeight="1" x14ac:dyDescent="0.3">
      <c r="B32" s="283">
        <v>4</v>
      </c>
      <c r="C32" s="248">
        <v>1</v>
      </c>
      <c r="D32" s="244">
        <f>IF(COUNTIF($J$5:$J$6, C32)&gt;0, VLOOKUP(Table2[[#This Row],[Phase]], $J$5:$L$6, 3,FALSE), "-")</f>
        <v>2</v>
      </c>
      <c r="E32" s="248">
        <v>78.739999999999995</v>
      </c>
      <c r="F32" s="248">
        <v>1</v>
      </c>
      <c r="G32" s="287">
        <f>_xlfn.IFNA(IF(VLOOKUP(Table2[[#This Row],[Ref Fault '#]], Table2[#All], 18,FALSE)&gt;0, VLOOKUP(Table2[[#This Row],[Ref Fault '#]], Table2[#All], 18,FALSE), "-"), "-")</f>
        <v>13547.458991672931</v>
      </c>
      <c r="H32" s="330" t="s">
        <v>166</v>
      </c>
      <c r="I32" s="286">
        <f>_xlfn.IFNA(VLOOKUP(VLOOKUP(Table2[[#This Row],[Wire Code]], 'Table Reference'!$Z$6:$AA$135, 2, FALSE), 'Table Reference'!$AD$6:$AE$38, 2,FALSE), "-")</f>
        <v>14</v>
      </c>
      <c r="J32" s="286" t="str">
        <f>_xlfn.IFNA(VLOOKUP(Table2[[#This Row],[Wire Code]], 'Table Reference'!$Z$6:$AB$135, 3, FALSE), "-")</f>
        <v>CU</v>
      </c>
      <c r="K32" s="247" t="s">
        <v>582</v>
      </c>
      <c r="L32" s="247" t="s">
        <v>152</v>
      </c>
      <c r="M32" s="248" t="s">
        <v>517</v>
      </c>
      <c r="N32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2430</v>
      </c>
      <c r="O32" s="247">
        <v>1</v>
      </c>
      <c r="P32" s="248">
        <v>230</v>
      </c>
      <c r="Q32" s="309">
        <f>IFERROR((Table2[[#This Row],[k]]*Table2[[#This Row],[L]]*Table2[[#This Row],[I(SC) Old]])/(Table2[[#This Row],[C]]*Table2[[#This Row],[n]]*Table2[[#This Row],[V]]), "-")</f>
        <v>3.8172371479847076</v>
      </c>
      <c r="R32" s="309">
        <f>IFERROR(1/(1+Table2[[#This Row],[f]]), "-")</f>
        <v>0.20758787024183567</v>
      </c>
      <c r="S32" s="322">
        <f>IFERROR(_xlfn.IFNA(Table2[[#This Row],[I(SC) Old]]*Table2[[#This Row],[M]], "-"), "-")</f>
        <v>2812.2881592699905</v>
      </c>
      <c r="U32" s="336" t="s">
        <v>646</v>
      </c>
    </row>
    <row r="33" spans="2:21" ht="14.25" customHeight="1" x14ac:dyDescent="0.3">
      <c r="B33" s="283">
        <v>5</v>
      </c>
      <c r="C33" s="248">
        <v>1</v>
      </c>
      <c r="D33" s="244">
        <f>IF(COUNTIF($J$5:$J$6, C33)&gt;0, VLOOKUP(Table2[[#This Row],[Phase]], $J$5:$L$6, 3,FALSE), "-")</f>
        <v>2</v>
      </c>
      <c r="E33" s="248">
        <v>7</v>
      </c>
      <c r="F33" s="248">
        <v>4</v>
      </c>
      <c r="G33" s="287">
        <f>_xlfn.IFNA(IF(VLOOKUP(Table2[[#This Row],[Ref Fault '#]], Table2[#All], 18,FALSE)&gt;0, VLOOKUP(Table2[[#This Row],[Ref Fault '#]], Table2[#All], 18,FALSE), "-"), "-")</f>
        <v>2812.2881592699905</v>
      </c>
      <c r="H33" s="330" t="s">
        <v>156</v>
      </c>
      <c r="I33" s="286">
        <f>_xlfn.IFNA(VLOOKUP(VLOOKUP(Table2[[#This Row],[Wire Code]], 'Table Reference'!$Z$6:$AA$135, 2, FALSE), 'Table Reference'!$AD$6:$AE$38, 2,FALSE), "-")</f>
        <v>3.5</v>
      </c>
      <c r="J33" s="286" t="str">
        <f>_xlfn.IFNA(VLOOKUP(Table2[[#This Row],[Wire Code]], 'Table Reference'!$Z$6:$AB$135, 3, FALSE), "-")</f>
        <v>CU</v>
      </c>
      <c r="K33" s="247" t="s">
        <v>582</v>
      </c>
      <c r="L33" s="247" t="s">
        <v>152</v>
      </c>
      <c r="M33" s="248" t="s">
        <v>517</v>
      </c>
      <c r="N33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617</v>
      </c>
      <c r="O33" s="247">
        <v>1</v>
      </c>
      <c r="P33" s="248">
        <v>230</v>
      </c>
      <c r="Q33" s="309">
        <f>IFERROR((Table2[[#This Row],[k]]*Table2[[#This Row],[L]]*Table2[[#This Row],[I(SC) Old]])/(Table2[[#This Row],[C]]*Table2[[#This Row],[n]]*Table2[[#This Row],[V]]), "-")</f>
        <v>0.27744369128165641</v>
      </c>
      <c r="R33" s="309">
        <f>IFERROR(1/(1+Table2[[#This Row],[f]]), "-")</f>
        <v>0.78281336925050859</v>
      </c>
      <c r="S33" s="322">
        <f>IFERROR(_xlfn.IFNA(Table2[[#This Row],[I(SC) Old]]*Table2[[#This Row],[M]], "-"), "-")</f>
        <v>2201.4967692614523</v>
      </c>
      <c r="U33" s="336" t="s">
        <v>647</v>
      </c>
    </row>
    <row r="34" spans="2:21" ht="14.25" customHeight="1" x14ac:dyDescent="0.3">
      <c r="B34" s="283">
        <v>6</v>
      </c>
      <c r="C34" s="248">
        <v>1</v>
      </c>
      <c r="D34" s="244">
        <f>IF(COUNTIF($J$5:$J$6, C34)&gt;0, VLOOKUP(Table2[[#This Row],[Phase]], $J$5:$L$6, 3,FALSE), "-")</f>
        <v>2</v>
      </c>
      <c r="E34" s="248">
        <v>95.14</v>
      </c>
      <c r="F34" s="248">
        <v>1</v>
      </c>
      <c r="G34" s="287">
        <f>_xlfn.IFNA(IF(VLOOKUP(Table2[[#This Row],[Ref Fault '#]], Table2[#All], 18,FALSE)&gt;0, VLOOKUP(Table2[[#This Row],[Ref Fault '#]], Table2[#All], 18,FALSE), "-"), "-")</f>
        <v>13547.458991672931</v>
      </c>
      <c r="H34" s="330" t="s">
        <v>156</v>
      </c>
      <c r="I34" s="286">
        <f>_xlfn.IFNA(VLOOKUP(VLOOKUP(Table2[[#This Row],[Wire Code]], 'Table Reference'!$Z$6:$AA$135, 2, FALSE), 'Table Reference'!$AD$6:$AE$38, 2,FALSE), "-")</f>
        <v>3.5</v>
      </c>
      <c r="J34" s="286" t="str">
        <f>_xlfn.IFNA(VLOOKUP(Table2[[#This Row],[Wire Code]], 'Table Reference'!$Z$6:$AB$135, 3, FALSE), "-")</f>
        <v>CU</v>
      </c>
      <c r="K34" s="247" t="s">
        <v>582</v>
      </c>
      <c r="L34" s="247" t="s">
        <v>152</v>
      </c>
      <c r="M34" s="248" t="s">
        <v>517</v>
      </c>
      <c r="N34" s="285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617</v>
      </c>
      <c r="O34" s="247">
        <v>1</v>
      </c>
      <c r="P34" s="248">
        <v>230</v>
      </c>
      <c r="Q34" s="309">
        <f>IFERROR((Table2[[#This Row],[k]]*Table2[[#This Row],[L]]*Table2[[#This Row],[I(SC) Old]])/(Table2[[#This Row],[C]]*Table2[[#This Row],[n]]*Table2[[#This Row],[V]]), "-")</f>
        <v>18.165108145553699</v>
      </c>
      <c r="R34" s="309">
        <f>IFERROR(1/(1+Table2[[#This Row],[f]]), "-")</f>
        <v>5.2178155865611427E-2</v>
      </c>
      <c r="S34" s="322">
        <f>IFERROR(_xlfn.IFNA(Table2[[#This Row],[I(SC) Old]]*Table2[[#This Row],[M]], "-"), "-")</f>
        <v>706.88142685048922</v>
      </c>
      <c r="U34" s="336"/>
    </row>
    <row r="35" spans="2:21" ht="14.25" customHeight="1" x14ac:dyDescent="0.3">
      <c r="B35" s="283">
        <v>7</v>
      </c>
      <c r="C35" s="248"/>
      <c r="D35" s="244" t="str">
        <f>IF(COUNTIF($J$5:$J$6, C35)&gt;0, VLOOKUP(Table2[[#This Row],[Phase]], $J$5:$L$6, 3,FALSE), "-")</f>
        <v>-</v>
      </c>
      <c r="E35" s="248"/>
      <c r="F35" s="248"/>
      <c r="G35" s="287" t="str">
        <f>_xlfn.IFNA(IF(VLOOKUP(Table2[[#This Row],[Ref Fault '#]], Table2[#All], 18,FALSE)&gt;0, VLOOKUP(Table2[[#This Row],[Ref Fault '#]], Table2[#All], 18,FALSE), "-"), "-")</f>
        <v>-</v>
      </c>
      <c r="H35" s="330"/>
      <c r="I35" s="286" t="str">
        <f>_xlfn.IFNA(VLOOKUP(VLOOKUP(Table2[[#This Row],[Wire Code]], 'Table Reference'!$Z$6:$AA$135, 2, FALSE), 'Table Reference'!$AD$6:$AE$38, 2,FALSE), "-")</f>
        <v>-</v>
      </c>
      <c r="J35" s="286" t="str">
        <f>_xlfn.IFNA(VLOOKUP(Table2[[#This Row],[Wire Code]], 'Table Reference'!$Z$6:$AB$135, 3, FALSE), "-")</f>
        <v>-</v>
      </c>
      <c r="K35" s="248"/>
      <c r="L35" s="248"/>
      <c r="M35" s="248"/>
      <c r="N35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35" s="248"/>
      <c r="P35" s="248"/>
      <c r="Q35" s="309" t="str">
        <f>IFERROR((Table2[[#This Row],[k]]*Table2[[#This Row],[L]]*Table2[[#This Row],[I(SC) Old]])/(Table2[[#This Row],[C]]*Table2[[#This Row],[n]]*Table2[[#This Row],[V]]), "-")</f>
        <v>-</v>
      </c>
      <c r="R35" s="309" t="str">
        <f>IFERROR(1/(1+Table2[[#This Row],[f]]), "-")</f>
        <v>-</v>
      </c>
      <c r="S35" s="322" t="str">
        <f>IFERROR(_xlfn.IFNA(Table2[[#This Row],[I(SC) Old]]*Table2[[#This Row],[M]], "-"), "-")</f>
        <v>-</v>
      </c>
      <c r="U35" s="336"/>
    </row>
    <row r="36" spans="2:21" ht="14.25" customHeight="1" x14ac:dyDescent="0.3">
      <c r="B36" s="283">
        <v>8</v>
      </c>
      <c r="C36" s="248"/>
      <c r="D36" s="244" t="str">
        <f>IF(COUNTIF($J$5:$J$6, C36)&gt;0, VLOOKUP(Table2[[#This Row],[Phase]], $J$5:$L$6, 3,FALSE), "-")</f>
        <v>-</v>
      </c>
      <c r="E36" s="248"/>
      <c r="F36" s="248"/>
      <c r="G36" s="287" t="str">
        <f>_xlfn.IFNA(IF(VLOOKUP(Table2[[#This Row],[Ref Fault '#]], Table2[#All], 18,FALSE)&gt;0, VLOOKUP(Table2[[#This Row],[Ref Fault '#]], Table2[#All], 18,FALSE), "-"), "-")</f>
        <v>-</v>
      </c>
      <c r="H36" s="330"/>
      <c r="I36" s="286" t="str">
        <f>_xlfn.IFNA(VLOOKUP(VLOOKUP(Table2[[#This Row],[Wire Code]], 'Table Reference'!$Z$6:$AA$135, 2, FALSE), 'Table Reference'!$AD$6:$AE$38, 2,FALSE), "-")</f>
        <v>-</v>
      </c>
      <c r="J36" s="286" t="str">
        <f>_xlfn.IFNA(VLOOKUP(Table2[[#This Row],[Wire Code]], 'Table Reference'!$Z$6:$AB$135, 3, FALSE), "-")</f>
        <v>-</v>
      </c>
      <c r="K36" s="248"/>
      <c r="L36" s="248"/>
      <c r="M36" s="248"/>
      <c r="N36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36" s="248"/>
      <c r="P36" s="248"/>
      <c r="Q36" s="309" t="str">
        <f>IFERROR((Table2[[#This Row],[k]]*Table2[[#This Row],[L]]*Table2[[#This Row],[I(SC) Old]])/(Table2[[#This Row],[C]]*Table2[[#This Row],[n]]*Table2[[#This Row],[V]]), "-")</f>
        <v>-</v>
      </c>
      <c r="R36" s="309" t="str">
        <f>IFERROR(1/(1+Table2[[#This Row],[f]]), "-")</f>
        <v>-</v>
      </c>
      <c r="S36" s="322" t="str">
        <f>IFERROR(_xlfn.IFNA(Table2[[#This Row],[I(SC) Old]]*Table2[[#This Row],[M]], "-"), "-")</f>
        <v>-</v>
      </c>
      <c r="U36" s="336"/>
    </row>
    <row r="37" spans="2:21" ht="14.25" customHeight="1" x14ac:dyDescent="0.3">
      <c r="B37" s="283">
        <v>9</v>
      </c>
      <c r="C37" s="248"/>
      <c r="D37" s="244" t="str">
        <f>IF(COUNTIF($J$5:$J$6, C37)&gt;0, VLOOKUP(Table2[[#This Row],[Phase]], $J$5:$L$6, 3,FALSE), "-")</f>
        <v>-</v>
      </c>
      <c r="E37" s="248"/>
      <c r="F37" s="248"/>
      <c r="G37" s="287" t="str">
        <f>_xlfn.IFNA(IF(VLOOKUP(Table2[[#This Row],[Ref Fault '#]], Table2[#All], 18,FALSE)&gt;0, VLOOKUP(Table2[[#This Row],[Ref Fault '#]], Table2[#All], 18,FALSE), "-"), "-")</f>
        <v>-</v>
      </c>
      <c r="H37" s="330"/>
      <c r="I37" s="286" t="str">
        <f>_xlfn.IFNA(VLOOKUP(VLOOKUP(Table2[[#This Row],[Wire Code]], 'Table Reference'!$Z$6:$AA$135, 2, FALSE), 'Table Reference'!$AD$6:$AE$38, 2,FALSE), "-")</f>
        <v>-</v>
      </c>
      <c r="J37" s="286" t="str">
        <f>_xlfn.IFNA(VLOOKUP(Table2[[#This Row],[Wire Code]], 'Table Reference'!$Z$6:$AB$135, 3, FALSE), "-")</f>
        <v>-</v>
      </c>
      <c r="K37" s="248"/>
      <c r="L37" s="248"/>
      <c r="M37" s="248"/>
      <c r="N37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37" s="248"/>
      <c r="P37" s="248"/>
      <c r="Q37" s="309" t="str">
        <f>IFERROR((Table2[[#This Row],[k]]*Table2[[#This Row],[L]]*Table2[[#This Row],[I(SC) Old]])/(Table2[[#This Row],[C]]*Table2[[#This Row],[n]]*Table2[[#This Row],[V]]), "-")</f>
        <v>-</v>
      </c>
      <c r="R37" s="309" t="str">
        <f>IFERROR(1/(1+Table2[[#This Row],[f]]), "-")</f>
        <v>-</v>
      </c>
      <c r="S37" s="323" t="str">
        <f>IFERROR(_xlfn.IFNA(Table2[[#This Row],[I(SC) Old]]*Table2[[#This Row],[M]], "-"), "-")</f>
        <v>-</v>
      </c>
      <c r="U37" s="336"/>
    </row>
    <row r="38" spans="2:21" ht="14.25" customHeight="1" x14ac:dyDescent="0.3">
      <c r="B38" s="283">
        <v>10</v>
      </c>
      <c r="C38" s="248"/>
      <c r="D38" s="244" t="str">
        <f>IF(COUNTIF($J$5:$J$6, C38)&gt;0, VLOOKUP(Table2[[#This Row],[Phase]], $J$5:$L$6, 3,FALSE), "-")</f>
        <v>-</v>
      </c>
      <c r="E38" s="248"/>
      <c r="F38" s="248"/>
      <c r="G38" s="287" t="str">
        <f>_xlfn.IFNA(IF(VLOOKUP(Table2[[#This Row],[Ref Fault '#]], Table2[#All], 18,FALSE)&gt;0, VLOOKUP(Table2[[#This Row],[Ref Fault '#]], Table2[#All], 18,FALSE), "-"), "-")</f>
        <v>-</v>
      </c>
      <c r="H38" s="330"/>
      <c r="I38" s="286" t="str">
        <f>_xlfn.IFNA(VLOOKUP(VLOOKUP(Table2[[#This Row],[Wire Code]], 'Table Reference'!$Z$6:$AA$135, 2, FALSE), 'Table Reference'!$AD$6:$AE$38, 2,FALSE), "-")</f>
        <v>-</v>
      </c>
      <c r="J38" s="286" t="str">
        <f>_xlfn.IFNA(VLOOKUP(Table2[[#This Row],[Wire Code]], 'Table Reference'!$Z$6:$AB$135, 3, FALSE), "-")</f>
        <v>-</v>
      </c>
      <c r="K38" s="248"/>
      <c r="L38" s="248"/>
      <c r="M38" s="248"/>
      <c r="N38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38" s="248"/>
      <c r="P38" s="248"/>
      <c r="Q38" s="309" t="str">
        <f>IFERROR((Table2[[#This Row],[k]]*Table2[[#This Row],[L]]*Table2[[#This Row],[I(SC) Old]])/(Table2[[#This Row],[C]]*Table2[[#This Row],[n]]*Table2[[#This Row],[V]]), "-")</f>
        <v>-</v>
      </c>
      <c r="R38" s="309" t="str">
        <f>IFERROR(1/(1+Table2[[#This Row],[f]]), "-")</f>
        <v>-</v>
      </c>
      <c r="S38" s="322" t="str">
        <f>IFERROR(_xlfn.IFNA(Table2[[#This Row],[I(SC) Old]]*Table2[[#This Row],[M]], "-"), "-")</f>
        <v>-</v>
      </c>
      <c r="U38" s="336"/>
    </row>
    <row r="39" spans="2:21" ht="14.25" customHeight="1" x14ac:dyDescent="0.3">
      <c r="B39" s="283">
        <v>12</v>
      </c>
      <c r="C39" s="248"/>
      <c r="D39" s="244" t="str">
        <f>IF(COUNTIF($J$5:$J$6, C39)&gt;0, VLOOKUP(Table2[[#This Row],[Phase]], $J$5:$L$6, 3,FALSE), "-")</f>
        <v>-</v>
      </c>
      <c r="E39" s="248"/>
      <c r="F39" s="248"/>
      <c r="G39" s="287" t="str">
        <f>_xlfn.IFNA(IF(VLOOKUP(Table2[[#This Row],[Ref Fault '#]], Table2[#All], 18,FALSE)&gt;0, VLOOKUP(Table2[[#This Row],[Ref Fault '#]], Table2[#All], 18,FALSE), "-"), "-")</f>
        <v>-</v>
      </c>
      <c r="H39" s="330"/>
      <c r="I39" s="286" t="str">
        <f>_xlfn.IFNA(VLOOKUP(VLOOKUP(Table2[[#This Row],[Wire Code]], 'Table Reference'!$Z$6:$AA$135, 2, FALSE), 'Table Reference'!$AD$6:$AE$38, 2,FALSE), "-")</f>
        <v>-</v>
      </c>
      <c r="J39" s="286" t="str">
        <f>_xlfn.IFNA(VLOOKUP(Table2[[#This Row],[Wire Code]], 'Table Reference'!$Z$6:$AB$135, 3, FALSE), "-")</f>
        <v>-</v>
      </c>
      <c r="K39" s="248"/>
      <c r="L39" s="248"/>
      <c r="M39" s="248"/>
      <c r="N39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39" s="248"/>
      <c r="P39" s="248"/>
      <c r="Q39" s="309" t="str">
        <f>IFERROR((Table2[[#This Row],[k]]*Table2[[#This Row],[L]]*Table2[[#This Row],[I(SC) Old]])/(Table2[[#This Row],[C]]*Table2[[#This Row],[n]]*Table2[[#This Row],[V]]), "-")</f>
        <v>-</v>
      </c>
      <c r="R39" s="309" t="str">
        <f>IFERROR(1/(1+Table2[[#This Row],[f]]), "-")</f>
        <v>-</v>
      </c>
      <c r="S39" s="322" t="str">
        <f>IFERROR(_xlfn.IFNA(Table2[[#This Row],[I(SC) Old]]*Table2[[#This Row],[M]], "-"), "-")</f>
        <v>-</v>
      </c>
      <c r="U39" s="336"/>
    </row>
    <row r="40" spans="2:21" ht="14.25" customHeight="1" x14ac:dyDescent="0.3">
      <c r="B40" s="283">
        <v>13</v>
      </c>
      <c r="C40" s="248"/>
      <c r="D40" s="244" t="str">
        <f>IF(COUNTIF($J$5:$J$6, C40)&gt;0, VLOOKUP(Table2[[#This Row],[Phase]], $J$5:$L$6, 3,FALSE), "-")</f>
        <v>-</v>
      </c>
      <c r="E40" s="248"/>
      <c r="F40" s="248"/>
      <c r="G40" s="287" t="str">
        <f>_xlfn.IFNA(IF(VLOOKUP(Table2[[#This Row],[Ref Fault '#]], Table2[#All], 18,FALSE)&gt;0, VLOOKUP(Table2[[#This Row],[Ref Fault '#]], Table2[#All], 18,FALSE), "-"), "-")</f>
        <v>-</v>
      </c>
      <c r="H40" s="330"/>
      <c r="I40" s="286" t="str">
        <f>_xlfn.IFNA(VLOOKUP(VLOOKUP(Table2[[#This Row],[Wire Code]], 'Table Reference'!$Z$6:$AA$135, 2, FALSE), 'Table Reference'!$AD$6:$AE$38, 2,FALSE), "-")</f>
        <v>-</v>
      </c>
      <c r="J40" s="286" t="str">
        <f>_xlfn.IFNA(VLOOKUP(Table2[[#This Row],[Wire Code]], 'Table Reference'!$Z$6:$AB$135, 3, FALSE), "-")</f>
        <v>-</v>
      </c>
      <c r="K40" s="248"/>
      <c r="L40" s="248"/>
      <c r="M40" s="248"/>
      <c r="N40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0" s="248"/>
      <c r="P40" s="248"/>
      <c r="Q40" s="309" t="str">
        <f>IFERROR((Table2[[#This Row],[k]]*Table2[[#This Row],[L]]*Table2[[#This Row],[I(SC) Old]])/(Table2[[#This Row],[C]]*Table2[[#This Row],[n]]*Table2[[#This Row],[V]]), "-")</f>
        <v>-</v>
      </c>
      <c r="R40" s="309" t="str">
        <f>IFERROR(1/(1+Table2[[#This Row],[f]]), "-")</f>
        <v>-</v>
      </c>
      <c r="S40" s="322" t="str">
        <f>IFERROR(_xlfn.IFNA(Table2[[#This Row],[I(SC) Old]]*Table2[[#This Row],[M]], "-"), "-")</f>
        <v>-</v>
      </c>
      <c r="U40" s="336"/>
    </row>
    <row r="41" spans="2:21" ht="14.25" customHeight="1" x14ac:dyDescent="0.3">
      <c r="B41" s="283">
        <v>14</v>
      </c>
      <c r="C41" s="248"/>
      <c r="D41" s="244" t="str">
        <f>IF(COUNTIF($J$5:$J$6, C41)&gt;0, VLOOKUP(Table2[[#This Row],[Phase]], $J$5:$L$6, 3,FALSE), "-")</f>
        <v>-</v>
      </c>
      <c r="E41" s="248"/>
      <c r="F41" s="248"/>
      <c r="G41" s="287" t="str">
        <f>_xlfn.IFNA(IF(VLOOKUP(Table2[[#This Row],[Ref Fault '#]], Table2[#All], 18,FALSE)&gt;0, VLOOKUP(Table2[[#This Row],[Ref Fault '#]], Table2[#All], 18,FALSE), "-"), "-")</f>
        <v>-</v>
      </c>
      <c r="H41" s="330"/>
      <c r="I41" s="286" t="str">
        <f>_xlfn.IFNA(VLOOKUP(VLOOKUP(Table2[[#This Row],[Wire Code]], 'Table Reference'!$Z$6:$AA$135, 2, FALSE), 'Table Reference'!$AD$6:$AE$38, 2,FALSE), "-")</f>
        <v>-</v>
      </c>
      <c r="J41" s="286" t="str">
        <f>_xlfn.IFNA(VLOOKUP(Table2[[#This Row],[Wire Code]], 'Table Reference'!$Z$6:$AB$135, 3, FALSE), "-")</f>
        <v>-</v>
      </c>
      <c r="K41" s="248"/>
      <c r="L41" s="248"/>
      <c r="M41" s="248"/>
      <c r="N41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1" s="248"/>
      <c r="P41" s="248"/>
      <c r="Q41" s="309" t="str">
        <f>IFERROR((Table2[[#This Row],[k]]*Table2[[#This Row],[L]]*Table2[[#This Row],[I(SC) Old]])/(Table2[[#This Row],[C]]*Table2[[#This Row],[n]]*Table2[[#This Row],[V]]), "-")</f>
        <v>-</v>
      </c>
      <c r="R41" s="309" t="str">
        <f>IFERROR(1/(1+Table2[[#This Row],[f]]), "-")</f>
        <v>-</v>
      </c>
      <c r="S41" s="322" t="str">
        <f>IFERROR(_xlfn.IFNA(Table2[[#This Row],[I(SC) Old]]*Table2[[#This Row],[M]], "-"), "-")</f>
        <v>-</v>
      </c>
      <c r="U41" s="336"/>
    </row>
    <row r="42" spans="2:21" ht="14.25" customHeight="1" x14ac:dyDescent="0.3">
      <c r="B42" s="283">
        <v>15</v>
      </c>
      <c r="C42" s="248"/>
      <c r="D42" s="244" t="str">
        <f>IF(COUNTIF($J$5:$J$6, C42)&gt;0, VLOOKUP(Table2[[#This Row],[Phase]], $J$5:$L$6, 3,FALSE), "-")</f>
        <v>-</v>
      </c>
      <c r="E42" s="248"/>
      <c r="F42" s="248"/>
      <c r="G42" s="287" t="str">
        <f>_xlfn.IFNA(IF(VLOOKUP(Table2[[#This Row],[Ref Fault '#]], Table2[#All], 18,FALSE)&gt;0, VLOOKUP(Table2[[#This Row],[Ref Fault '#]], Table2[#All], 18,FALSE), "-"), "-")</f>
        <v>-</v>
      </c>
      <c r="H42" s="330"/>
      <c r="I42" s="286" t="str">
        <f>_xlfn.IFNA(VLOOKUP(VLOOKUP(Table2[[#This Row],[Wire Code]], 'Table Reference'!$Z$6:$AA$135, 2, FALSE), 'Table Reference'!$AD$6:$AE$38, 2,FALSE), "-")</f>
        <v>-</v>
      </c>
      <c r="J42" s="286" t="str">
        <f>_xlfn.IFNA(VLOOKUP(Table2[[#This Row],[Wire Code]], 'Table Reference'!$Z$6:$AB$135, 3, FALSE), "-")</f>
        <v>-</v>
      </c>
      <c r="K42" s="248"/>
      <c r="L42" s="248"/>
      <c r="M42" s="248"/>
      <c r="N42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2" s="248"/>
      <c r="P42" s="248"/>
      <c r="Q42" s="309" t="str">
        <f>IFERROR((Table2[[#This Row],[k]]*Table2[[#This Row],[L]]*Table2[[#This Row],[I(SC) Old]])/(Table2[[#This Row],[C]]*Table2[[#This Row],[n]]*Table2[[#This Row],[V]]), "-")</f>
        <v>-</v>
      </c>
      <c r="R42" s="309" t="str">
        <f>IFERROR(1/(1+Table2[[#This Row],[f]]), "-")</f>
        <v>-</v>
      </c>
      <c r="S42" s="322" t="str">
        <f>IFERROR(_xlfn.IFNA(Table2[[#This Row],[I(SC) Old]]*Table2[[#This Row],[M]], "-"), "-")</f>
        <v>-</v>
      </c>
      <c r="U42" s="336"/>
    </row>
    <row r="43" spans="2:21" ht="14.25" customHeight="1" x14ac:dyDescent="0.3">
      <c r="B43" s="283">
        <v>16</v>
      </c>
      <c r="C43" s="248"/>
      <c r="D43" s="244" t="str">
        <f>IF(COUNTIF($J$5:$J$6, C43)&gt;0, VLOOKUP(Table2[[#This Row],[Phase]], $J$5:$L$6, 3,FALSE), "-")</f>
        <v>-</v>
      </c>
      <c r="E43" s="248"/>
      <c r="F43" s="248"/>
      <c r="G43" s="287" t="str">
        <f>_xlfn.IFNA(IF(VLOOKUP(Table2[[#This Row],[Ref Fault '#]], Table2[#All], 18,FALSE)&gt;0, VLOOKUP(Table2[[#This Row],[Ref Fault '#]], Table2[#All], 18,FALSE), "-"), "-")</f>
        <v>-</v>
      </c>
      <c r="H43" s="330"/>
      <c r="I43" s="286" t="str">
        <f>_xlfn.IFNA(VLOOKUP(VLOOKUP(Table2[[#This Row],[Wire Code]], 'Table Reference'!$Z$6:$AA$135, 2, FALSE), 'Table Reference'!$AD$6:$AE$38, 2,FALSE), "-")</f>
        <v>-</v>
      </c>
      <c r="J43" s="286" t="str">
        <f>_xlfn.IFNA(VLOOKUP(Table2[[#This Row],[Wire Code]], 'Table Reference'!$Z$6:$AB$135, 3, FALSE), "-")</f>
        <v>-</v>
      </c>
      <c r="K43" s="248"/>
      <c r="L43" s="248"/>
      <c r="M43" s="248"/>
      <c r="N43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3" s="248"/>
      <c r="P43" s="248"/>
      <c r="Q43" s="309" t="str">
        <f>IFERROR((Table2[[#This Row],[k]]*Table2[[#This Row],[L]]*Table2[[#This Row],[I(SC) Old]])/(Table2[[#This Row],[C]]*Table2[[#This Row],[n]]*Table2[[#This Row],[V]]), "-")</f>
        <v>-</v>
      </c>
      <c r="R43" s="309" t="str">
        <f>IFERROR(1/(1+Table2[[#This Row],[f]]), "-")</f>
        <v>-</v>
      </c>
      <c r="S43" s="322" t="str">
        <f>IFERROR(_xlfn.IFNA(Table2[[#This Row],[I(SC) Old]]*Table2[[#This Row],[M]], "-"), "-")</f>
        <v>-</v>
      </c>
      <c r="U43" s="336"/>
    </row>
    <row r="44" spans="2:21" ht="14.25" customHeight="1" x14ac:dyDescent="0.3">
      <c r="B44" s="283">
        <v>17</v>
      </c>
      <c r="C44" s="248"/>
      <c r="D44" s="244" t="str">
        <f>IF(COUNTIF($J$5:$J$6, C44)&gt;0, VLOOKUP(Table2[[#This Row],[Phase]], $J$5:$L$6, 3,FALSE), "-")</f>
        <v>-</v>
      </c>
      <c r="E44" s="248"/>
      <c r="F44" s="248"/>
      <c r="G44" s="287" t="str">
        <f>_xlfn.IFNA(IF(VLOOKUP(Table2[[#This Row],[Ref Fault '#]], Table2[#All], 18,FALSE)&gt;0, VLOOKUP(Table2[[#This Row],[Ref Fault '#]], Table2[#All], 18,FALSE), "-"), "-")</f>
        <v>-</v>
      </c>
      <c r="H44" s="330"/>
      <c r="I44" s="286" t="str">
        <f>_xlfn.IFNA(VLOOKUP(VLOOKUP(Table2[[#This Row],[Wire Code]], 'Table Reference'!$Z$6:$AA$135, 2, FALSE), 'Table Reference'!$AD$6:$AE$38, 2,FALSE), "-")</f>
        <v>-</v>
      </c>
      <c r="J44" s="286" t="str">
        <f>_xlfn.IFNA(VLOOKUP(Table2[[#This Row],[Wire Code]], 'Table Reference'!$Z$6:$AB$135, 3, FALSE), "-")</f>
        <v>-</v>
      </c>
      <c r="K44" s="248"/>
      <c r="L44" s="248"/>
      <c r="M44" s="248"/>
      <c r="N44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4" s="248"/>
      <c r="P44" s="248"/>
      <c r="Q44" s="309" t="str">
        <f>IFERROR((Table2[[#This Row],[k]]*Table2[[#This Row],[L]]*Table2[[#This Row],[I(SC) Old]])/(Table2[[#This Row],[C]]*Table2[[#This Row],[n]]*Table2[[#This Row],[V]]), "-")</f>
        <v>-</v>
      </c>
      <c r="R44" s="309" t="str">
        <f>IFERROR(1/(1+Table2[[#This Row],[f]]), "-")</f>
        <v>-</v>
      </c>
      <c r="S44" s="322" t="str">
        <f>IFERROR(_xlfn.IFNA(Table2[[#This Row],[I(SC) Old]]*Table2[[#This Row],[M]], "-"), "-")</f>
        <v>-</v>
      </c>
      <c r="U44" s="336"/>
    </row>
    <row r="45" spans="2:21" ht="14.25" customHeight="1" x14ac:dyDescent="0.3">
      <c r="B45" s="283">
        <v>18</v>
      </c>
      <c r="C45" s="248"/>
      <c r="D45" s="244" t="str">
        <f>IF(COUNTIF($J$5:$J$6, C45)&gt;0, VLOOKUP(Table2[[#This Row],[Phase]], $J$5:$L$6, 3,FALSE), "-")</f>
        <v>-</v>
      </c>
      <c r="E45" s="248"/>
      <c r="F45" s="248"/>
      <c r="G45" s="287" t="str">
        <f>_xlfn.IFNA(IF(VLOOKUP(Table2[[#This Row],[Ref Fault '#]], Table2[#All], 18,FALSE)&gt;0, VLOOKUP(Table2[[#This Row],[Ref Fault '#]], Table2[#All], 18,FALSE), "-"), "-")</f>
        <v>-</v>
      </c>
      <c r="H45" s="330"/>
      <c r="I45" s="286" t="str">
        <f>_xlfn.IFNA(VLOOKUP(VLOOKUP(Table2[[#This Row],[Wire Code]], 'Table Reference'!$Z$6:$AA$135, 2, FALSE), 'Table Reference'!$AD$6:$AE$38, 2,FALSE), "-")</f>
        <v>-</v>
      </c>
      <c r="J45" s="286" t="str">
        <f>_xlfn.IFNA(VLOOKUP(Table2[[#This Row],[Wire Code]], 'Table Reference'!$Z$6:$AB$135, 3, FALSE), "-")</f>
        <v>-</v>
      </c>
      <c r="K45" s="248"/>
      <c r="L45" s="248"/>
      <c r="M45" s="248"/>
      <c r="N45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5" s="248"/>
      <c r="P45" s="248"/>
      <c r="Q45" s="309" t="str">
        <f>IFERROR((Table2[[#This Row],[k]]*Table2[[#This Row],[L]]*Table2[[#This Row],[I(SC) Old]])/(Table2[[#This Row],[C]]*Table2[[#This Row],[n]]*Table2[[#This Row],[V]]), "-")</f>
        <v>-</v>
      </c>
      <c r="R45" s="309" t="str">
        <f>IFERROR(1/(1+Table2[[#This Row],[f]]), "-")</f>
        <v>-</v>
      </c>
      <c r="S45" s="322" t="str">
        <f>IFERROR(_xlfn.IFNA(Table2[[#This Row],[I(SC) Old]]*Table2[[#This Row],[M]], "-"), "-")</f>
        <v>-</v>
      </c>
      <c r="U45" s="336"/>
    </row>
    <row r="46" spans="2:21" ht="14.25" customHeight="1" x14ac:dyDescent="0.3">
      <c r="B46" s="283">
        <v>19</v>
      </c>
      <c r="C46" s="248"/>
      <c r="D46" s="244" t="str">
        <f>IF(COUNTIF($J$5:$J$6, C46)&gt;0, VLOOKUP(Table2[[#This Row],[Phase]], $J$5:$L$6, 3,FALSE), "-")</f>
        <v>-</v>
      </c>
      <c r="E46" s="248"/>
      <c r="F46" s="248"/>
      <c r="G46" s="287" t="str">
        <f>_xlfn.IFNA(IF(VLOOKUP(Table2[[#This Row],[Ref Fault '#]], Table2[#All], 18,FALSE)&gt;0, VLOOKUP(Table2[[#This Row],[Ref Fault '#]], Table2[#All], 18,FALSE), "-"), "-")</f>
        <v>-</v>
      </c>
      <c r="H46" s="330"/>
      <c r="I46" s="286" t="str">
        <f>_xlfn.IFNA(VLOOKUP(VLOOKUP(Table2[[#This Row],[Wire Code]], 'Table Reference'!$Z$6:$AA$135, 2, FALSE), 'Table Reference'!$AD$6:$AE$38, 2,FALSE), "-")</f>
        <v>-</v>
      </c>
      <c r="J46" s="286" t="str">
        <f>_xlfn.IFNA(VLOOKUP(Table2[[#This Row],[Wire Code]], 'Table Reference'!$Z$6:$AB$135, 3, FALSE), "-")</f>
        <v>-</v>
      </c>
      <c r="K46" s="248"/>
      <c r="L46" s="248"/>
      <c r="M46" s="248"/>
      <c r="N46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6" s="248"/>
      <c r="P46" s="248"/>
      <c r="Q46" s="309" t="str">
        <f>IFERROR((Table2[[#This Row],[k]]*Table2[[#This Row],[L]]*Table2[[#This Row],[I(SC) Old]])/(Table2[[#This Row],[C]]*Table2[[#This Row],[n]]*Table2[[#This Row],[V]]), "-")</f>
        <v>-</v>
      </c>
      <c r="R46" s="309" t="str">
        <f>IFERROR(1/(1+Table2[[#This Row],[f]]), "-")</f>
        <v>-</v>
      </c>
      <c r="S46" s="322" t="str">
        <f>IFERROR(_xlfn.IFNA(Table2[[#This Row],[I(SC) Old]]*Table2[[#This Row],[M]], "-"), "-")</f>
        <v>-</v>
      </c>
      <c r="U46" s="336"/>
    </row>
    <row r="47" spans="2:21" ht="14.25" customHeight="1" x14ac:dyDescent="0.3">
      <c r="B47" s="283">
        <v>20</v>
      </c>
      <c r="C47" s="248"/>
      <c r="D47" s="244" t="str">
        <f>IF(COUNTIF($J$5:$J$6, C47)&gt;0, VLOOKUP(Table2[[#This Row],[Phase]], $J$5:$L$6, 3,FALSE), "-")</f>
        <v>-</v>
      </c>
      <c r="E47" s="248"/>
      <c r="F47" s="248"/>
      <c r="G47" s="287" t="str">
        <f>_xlfn.IFNA(IF(VLOOKUP(Table2[[#This Row],[Ref Fault '#]], Table2[#All], 18,FALSE)&gt;0, VLOOKUP(Table2[[#This Row],[Ref Fault '#]], Table2[#All], 18,FALSE), "-"), "-")</f>
        <v>-</v>
      </c>
      <c r="H47" s="330"/>
      <c r="I47" s="286" t="str">
        <f>_xlfn.IFNA(VLOOKUP(VLOOKUP(Table2[[#This Row],[Wire Code]], 'Table Reference'!$Z$6:$AA$135, 2, FALSE), 'Table Reference'!$AD$6:$AE$38, 2,FALSE), "-")</f>
        <v>-</v>
      </c>
      <c r="J47" s="286" t="str">
        <f>_xlfn.IFNA(VLOOKUP(Table2[[#This Row],[Wire Code]], 'Table Reference'!$Z$6:$AB$135, 3, FALSE), "-")</f>
        <v>-</v>
      </c>
      <c r="K47" s="248"/>
      <c r="L47" s="248"/>
      <c r="M47" s="248"/>
      <c r="N47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7" s="248"/>
      <c r="P47" s="248"/>
      <c r="Q47" s="309" t="str">
        <f>IFERROR((Table2[[#This Row],[k]]*Table2[[#This Row],[L]]*Table2[[#This Row],[I(SC) Old]])/(Table2[[#This Row],[C]]*Table2[[#This Row],[n]]*Table2[[#This Row],[V]]), "-")</f>
        <v>-</v>
      </c>
      <c r="R47" s="309" t="str">
        <f>IFERROR(1/(1+Table2[[#This Row],[f]]), "-")</f>
        <v>-</v>
      </c>
      <c r="S47" s="322" t="str">
        <f>IFERROR(_xlfn.IFNA(Table2[[#This Row],[I(SC) Old]]*Table2[[#This Row],[M]], "-"), "-")</f>
        <v>-</v>
      </c>
      <c r="U47" s="336"/>
    </row>
    <row r="48" spans="2:21" ht="14.25" customHeight="1" x14ac:dyDescent="0.3">
      <c r="B48" s="283">
        <v>21</v>
      </c>
      <c r="C48" s="248"/>
      <c r="D48" s="244" t="str">
        <f>IF(COUNTIF($J$5:$J$6, C48)&gt;0, VLOOKUP(Table2[[#This Row],[Phase]], $J$5:$L$6, 3,FALSE), "-")</f>
        <v>-</v>
      </c>
      <c r="E48" s="248"/>
      <c r="F48" s="248"/>
      <c r="G48" s="287" t="str">
        <f>_xlfn.IFNA(IF(VLOOKUP(Table2[[#This Row],[Ref Fault '#]], Table2[#All], 18,FALSE)&gt;0, VLOOKUP(Table2[[#This Row],[Ref Fault '#]], Table2[#All], 18,FALSE), "-"), "-")</f>
        <v>-</v>
      </c>
      <c r="H48" s="330"/>
      <c r="I48" s="286" t="str">
        <f>_xlfn.IFNA(VLOOKUP(VLOOKUP(Table2[[#This Row],[Wire Code]], 'Table Reference'!$Z$6:$AA$135, 2, FALSE), 'Table Reference'!$AD$6:$AE$38, 2,FALSE), "-")</f>
        <v>-</v>
      </c>
      <c r="J48" s="286" t="str">
        <f>_xlfn.IFNA(VLOOKUP(Table2[[#This Row],[Wire Code]], 'Table Reference'!$Z$6:$AB$135, 3, FALSE), "-")</f>
        <v>-</v>
      </c>
      <c r="K48" s="248"/>
      <c r="L48" s="248"/>
      <c r="M48" s="248"/>
      <c r="N48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8" s="248"/>
      <c r="P48" s="248"/>
      <c r="Q48" s="309" t="str">
        <f>IFERROR((Table2[[#This Row],[k]]*Table2[[#This Row],[L]]*Table2[[#This Row],[I(SC) Old]])/(Table2[[#This Row],[C]]*Table2[[#This Row],[n]]*Table2[[#This Row],[V]]), "-")</f>
        <v>-</v>
      </c>
      <c r="R48" s="309" t="str">
        <f>IFERROR(1/(1+Table2[[#This Row],[f]]), "-")</f>
        <v>-</v>
      </c>
      <c r="S48" s="322" t="str">
        <f>IFERROR(_xlfn.IFNA(Table2[[#This Row],[I(SC) Old]]*Table2[[#This Row],[M]], "-"), "-")</f>
        <v>-</v>
      </c>
      <c r="U48" s="336"/>
    </row>
    <row r="49" spans="2:21" ht="14.25" customHeight="1" x14ac:dyDescent="0.3">
      <c r="B49" s="283">
        <v>22</v>
      </c>
      <c r="C49" s="248"/>
      <c r="D49" s="244" t="str">
        <f>IF(COUNTIF($J$5:$J$6, C49)&gt;0, VLOOKUP(Table2[[#This Row],[Phase]], $J$5:$L$6, 3,FALSE), "-")</f>
        <v>-</v>
      </c>
      <c r="E49" s="248"/>
      <c r="F49" s="248"/>
      <c r="G49" s="287" t="str">
        <f>_xlfn.IFNA(IF(VLOOKUP(Table2[[#This Row],[Ref Fault '#]], Table2[#All], 18,FALSE)&gt;0, VLOOKUP(Table2[[#This Row],[Ref Fault '#]], Table2[#All], 18,FALSE), "-"), "-")</f>
        <v>-</v>
      </c>
      <c r="H49" s="330"/>
      <c r="I49" s="286" t="str">
        <f>_xlfn.IFNA(VLOOKUP(VLOOKUP(Table2[[#This Row],[Wire Code]], 'Table Reference'!$Z$6:$AA$135, 2, FALSE), 'Table Reference'!$AD$6:$AE$38, 2,FALSE), "-")</f>
        <v>-</v>
      </c>
      <c r="J49" s="286" t="str">
        <f>_xlfn.IFNA(VLOOKUP(Table2[[#This Row],[Wire Code]], 'Table Reference'!$Z$6:$AB$135, 3, FALSE), "-")</f>
        <v>-</v>
      </c>
      <c r="K49" s="248"/>
      <c r="L49" s="248"/>
      <c r="M49" s="248"/>
      <c r="N49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49" s="248"/>
      <c r="P49" s="248"/>
      <c r="Q49" s="309" t="str">
        <f>IFERROR((Table2[[#This Row],[k]]*Table2[[#This Row],[L]]*Table2[[#This Row],[I(SC) Old]])/(Table2[[#This Row],[C]]*Table2[[#This Row],[n]]*Table2[[#This Row],[V]]), "-")</f>
        <v>-</v>
      </c>
      <c r="R49" s="309" t="str">
        <f>IFERROR(1/(1+Table2[[#This Row],[f]]), "-")</f>
        <v>-</v>
      </c>
      <c r="S49" s="322" t="str">
        <f>IFERROR(_xlfn.IFNA(Table2[[#This Row],[I(SC) Old]]*Table2[[#This Row],[M]], "-"), "-")</f>
        <v>-</v>
      </c>
      <c r="U49" s="336"/>
    </row>
    <row r="50" spans="2:21" ht="14.25" customHeight="1" x14ac:dyDescent="0.3">
      <c r="B50" s="283">
        <v>23</v>
      </c>
      <c r="C50" s="248"/>
      <c r="D50" s="244" t="str">
        <f>IF(COUNTIF($J$5:$J$6, C50)&gt;0, VLOOKUP(Table2[[#This Row],[Phase]], $J$5:$L$6, 3,FALSE), "-")</f>
        <v>-</v>
      </c>
      <c r="E50" s="248"/>
      <c r="F50" s="248"/>
      <c r="G50" s="287" t="str">
        <f>_xlfn.IFNA(IF(VLOOKUP(Table2[[#This Row],[Ref Fault '#]], Table2[#All], 18,FALSE)&gt;0, VLOOKUP(Table2[[#This Row],[Ref Fault '#]], Table2[#All], 18,FALSE), "-"), "-")</f>
        <v>-</v>
      </c>
      <c r="H50" s="330"/>
      <c r="I50" s="286" t="str">
        <f>_xlfn.IFNA(VLOOKUP(VLOOKUP(Table2[[#This Row],[Wire Code]], 'Table Reference'!$Z$6:$AA$135, 2, FALSE), 'Table Reference'!$AD$6:$AE$38, 2,FALSE), "-")</f>
        <v>-</v>
      </c>
      <c r="J50" s="286" t="str">
        <f>_xlfn.IFNA(VLOOKUP(Table2[[#This Row],[Wire Code]], 'Table Reference'!$Z$6:$AB$135, 3, FALSE), "-")</f>
        <v>-</v>
      </c>
      <c r="K50" s="248"/>
      <c r="L50" s="248"/>
      <c r="M50" s="248"/>
      <c r="N50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50" s="248"/>
      <c r="P50" s="248"/>
      <c r="Q50" s="309" t="str">
        <f>IFERROR((Table2[[#This Row],[k]]*Table2[[#This Row],[L]]*Table2[[#This Row],[I(SC) Old]])/(Table2[[#This Row],[C]]*Table2[[#This Row],[n]]*Table2[[#This Row],[V]]), "-")</f>
        <v>-</v>
      </c>
      <c r="R50" s="309" t="str">
        <f>IFERROR(1/(1+Table2[[#This Row],[f]]), "-")</f>
        <v>-</v>
      </c>
      <c r="S50" s="322" t="str">
        <f>IFERROR(_xlfn.IFNA(Table2[[#This Row],[I(SC) Old]]*Table2[[#This Row],[M]], "-"), "-")</f>
        <v>-</v>
      </c>
      <c r="U50" s="336"/>
    </row>
    <row r="51" spans="2:21" ht="14.25" customHeight="1" x14ac:dyDescent="0.3">
      <c r="B51" s="283">
        <v>24</v>
      </c>
      <c r="C51" s="248"/>
      <c r="D51" s="244" t="str">
        <f>IF(COUNTIF($J$5:$J$6, C51)&gt;0, VLOOKUP(Table2[[#This Row],[Phase]], $J$5:$L$6, 3,FALSE), "-")</f>
        <v>-</v>
      </c>
      <c r="E51" s="248"/>
      <c r="F51" s="248"/>
      <c r="G51" s="287" t="str">
        <f>_xlfn.IFNA(IF(VLOOKUP(Table2[[#This Row],[Ref Fault '#]], Table2[#All], 18,FALSE)&gt;0, VLOOKUP(Table2[[#This Row],[Ref Fault '#]], Table2[#All], 18,FALSE), "-"), "-")</f>
        <v>-</v>
      </c>
      <c r="H51" s="330"/>
      <c r="I51" s="286" t="str">
        <f>_xlfn.IFNA(VLOOKUP(VLOOKUP(Table2[[#This Row],[Wire Code]], 'Table Reference'!$Z$6:$AA$135, 2, FALSE), 'Table Reference'!$AD$6:$AE$38, 2,FALSE), "-")</f>
        <v>-</v>
      </c>
      <c r="J51" s="286" t="str">
        <f>_xlfn.IFNA(VLOOKUP(Table2[[#This Row],[Wire Code]], 'Table Reference'!$Z$6:$AB$135, 3, FALSE), "-")</f>
        <v>-</v>
      </c>
      <c r="K51" s="248"/>
      <c r="L51" s="248"/>
      <c r="M51" s="248"/>
      <c r="N51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51" s="248"/>
      <c r="P51" s="248"/>
      <c r="Q51" s="309" t="str">
        <f>IFERROR((Table2[[#This Row],[k]]*Table2[[#This Row],[L]]*Table2[[#This Row],[I(SC) Old]])/(Table2[[#This Row],[C]]*Table2[[#This Row],[n]]*Table2[[#This Row],[V]]), "-")</f>
        <v>-</v>
      </c>
      <c r="R51" s="309" t="str">
        <f>IFERROR(1/(1+Table2[[#This Row],[f]]), "-")</f>
        <v>-</v>
      </c>
      <c r="S51" s="322" t="str">
        <f>IFERROR(_xlfn.IFNA(Table2[[#This Row],[I(SC) Old]]*Table2[[#This Row],[M]], "-"), "-")</f>
        <v>-</v>
      </c>
      <c r="U51" s="336"/>
    </row>
    <row r="52" spans="2:21" ht="14.25" customHeight="1" x14ac:dyDescent="0.3">
      <c r="B52" s="283">
        <v>25</v>
      </c>
      <c r="C52" s="248"/>
      <c r="D52" s="244" t="str">
        <f>IF(COUNTIF($J$5:$J$6, C52)&gt;0, VLOOKUP(Table2[[#This Row],[Phase]], $J$5:$L$6, 3,FALSE), "-")</f>
        <v>-</v>
      </c>
      <c r="E52" s="248"/>
      <c r="F52" s="248"/>
      <c r="G52" s="287" t="str">
        <f>_xlfn.IFNA(IF(VLOOKUP(Table2[[#This Row],[Ref Fault '#]], Table2[#All], 18,FALSE)&gt;0, VLOOKUP(Table2[[#This Row],[Ref Fault '#]], Table2[#All], 18,FALSE), "-"), "-")</f>
        <v>-</v>
      </c>
      <c r="H52" s="330"/>
      <c r="I52" s="286" t="str">
        <f>_xlfn.IFNA(VLOOKUP(VLOOKUP(Table2[[#This Row],[Wire Code]], 'Table Reference'!$Z$6:$AA$135, 2, FALSE), 'Table Reference'!$AD$6:$AE$38, 2,FALSE), "-")</f>
        <v>-</v>
      </c>
      <c r="J52" s="286" t="str">
        <f>_xlfn.IFNA(VLOOKUP(Table2[[#This Row],[Wire Code]], 'Table Reference'!$Z$6:$AB$135, 3, FALSE), "-")</f>
        <v>-</v>
      </c>
      <c r="K52" s="248"/>
      <c r="L52" s="248"/>
      <c r="M52" s="248"/>
      <c r="N52" s="285" t="str">
        <f>_xlfn.IFNA(IF(OR(Table2[[#This Row],[Conductor Type]]="BUS-CU",Table2[[#This Row],[Conductor Type]]="BUS-AL"), VLOOKUP(Table2[[#This Row],[Con Dia / Amp]], 'Table Reference'!$AH$36:$AK$47, IF(Table2[[#This Row],[Conductor Type]]="BUS-CU", 4, 3)), VLOOKUP(Table2[[#This Row],[Con Dia / Amp]],'Table Reference'!$AH$9:$BI$29,MATCH(Table2[[#This Row],[Conductor Type]] &amp; Table2[[#This Row],[Conductor Type2]] &amp; Table2[[#This Row],[Conduit Type]] &amp; Table2[[#This Row],[Cable Rating]],'Table Reference'!$AH$8:$BI$8,0), FALSE)), "-")</f>
        <v>-</v>
      </c>
      <c r="O52" s="248"/>
      <c r="P52" s="248"/>
      <c r="Q52" s="309" t="str">
        <f>IFERROR((Table2[[#This Row],[k]]*Table2[[#This Row],[L]]*Table2[[#This Row],[I(SC) Old]])/(Table2[[#This Row],[C]]*Table2[[#This Row],[n]]*Table2[[#This Row],[V]]), "-")</f>
        <v>-</v>
      </c>
      <c r="R52" s="309" t="str">
        <f>IFERROR(1/(1+Table2[[#This Row],[f]]), "-")</f>
        <v>-</v>
      </c>
      <c r="S52" s="322" t="str">
        <f>IFERROR(_xlfn.IFNA(Table2[[#This Row],[I(SC) Old]]*Table2[[#This Row],[M]], "-"), "-")</f>
        <v>-</v>
      </c>
      <c r="U52" s="336"/>
    </row>
    <row r="53" spans="2:21" ht="14.25" customHeight="1" x14ac:dyDescent="0.3"/>
    <row r="54" spans="2:21" ht="14.25" customHeight="1" x14ac:dyDescent="0.3"/>
    <row r="55" spans="2:21" ht="14.25" customHeight="1" x14ac:dyDescent="0.3"/>
    <row r="56" spans="2:21" ht="14.25" customHeight="1" x14ac:dyDescent="0.3"/>
    <row r="57" spans="2:21" ht="14.25" customHeight="1" x14ac:dyDescent="0.3"/>
    <row r="58" spans="2:21" ht="14.25" customHeight="1" x14ac:dyDescent="0.3"/>
    <row r="59" spans="2:21" ht="14.25" customHeight="1" x14ac:dyDescent="0.3"/>
    <row r="60" spans="2:21" ht="14.25" customHeight="1" x14ac:dyDescent="0.3"/>
    <row r="61" spans="2:21" ht="14.25" customHeight="1" x14ac:dyDescent="0.3"/>
    <row r="62" spans="2:21" ht="14.25" customHeight="1" x14ac:dyDescent="0.3"/>
    <row r="63" spans="2:21" ht="14.25" customHeight="1" x14ac:dyDescent="0.3"/>
    <row r="64" spans="2:2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</sheetData>
  <sheetProtection algorithmName="SHA-512" hashValue="KLz6mCkU2OQp2guoOlntIlhjT165rXCi3H2Q2dPKnCXnM/QpC/3vnZxsxfAiCg2Dd1J7K3Jo59I+OuL2ALzAFQ==" saltValue="UBOqNTwgkvIr/QjF278AEg==" spinCount="100000" sheet="1" objects="1" scenarios="1"/>
  <phoneticPr fontId="6" type="noConversion"/>
  <dataValidations disablePrompts="1" count="1">
    <dataValidation type="list" allowBlank="1" showInputMessage="1" showErrorMessage="1" sqref="F29:F52" xr:uid="{808D5D4E-1674-4BEE-97D8-77F3FE023B7A}">
      <formula1>$B$29:$B$52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12F28138-1A74-4733-B091-999025B68477}">
          <x14:formula1>
            <xm:f>'Table Reference'!$AE$44:$AE$46</xm:f>
          </x14:formula1>
          <xm:sqref>K29:K52</xm:sqref>
        </x14:dataValidation>
        <x14:dataValidation type="list" allowBlank="1" showInputMessage="1" showErrorMessage="1" xr:uid="{1AD604C6-1798-4783-A63A-6A25742D4C99}">
          <x14:formula1>
            <xm:f>'Table Reference'!$AE$49:$AE$51</xm:f>
          </x14:formula1>
          <xm:sqref>L29:L52</xm:sqref>
        </x14:dataValidation>
        <x14:dataValidation type="list" allowBlank="1" showInputMessage="1" showErrorMessage="1" xr:uid="{DEE3F469-9009-4912-BEA1-58A294B1F492}">
          <x14:formula1>
            <xm:f>'Table Reference'!$Z$6:$Z$135</xm:f>
          </x14:formula1>
          <xm:sqref>H29:H52</xm:sqref>
        </x14:dataValidation>
        <x14:dataValidation type="list" allowBlank="1" showInputMessage="1" showErrorMessage="1" xr:uid="{D637D087-66FA-4D58-83A7-3D9D09E235C2}">
          <x14:formula1>
            <xm:f>'Table Reference'!$AD$54:$AD$57</xm:f>
          </x14:formula1>
          <xm:sqref>M29:M52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BI261"/>
  <sheetViews>
    <sheetView topLeftCell="Z1" zoomScale="85" zoomScaleNormal="85" workbookViewId="0">
      <selection activeCell="E63" sqref="E63"/>
    </sheetView>
  </sheetViews>
  <sheetFormatPr defaultColWidth="14.44140625" defaultRowHeight="15" customHeight="1" x14ac:dyDescent="0.3"/>
  <cols>
    <col min="1" max="1" width="8.6640625" customWidth="1"/>
    <col min="2" max="12" width="17.44140625" customWidth="1"/>
    <col min="13" max="18" width="8.77734375" style="165" customWidth="1"/>
    <col min="19" max="19" width="46.21875" style="165" customWidth="1"/>
    <col min="20" max="21" width="8.77734375" style="165" customWidth="1"/>
    <col min="22" max="22" width="13.6640625" style="165" customWidth="1"/>
    <col min="23" max="23" width="8.77734375" style="165" customWidth="1"/>
    <col min="24" max="24" width="21" style="165" customWidth="1"/>
    <col min="30" max="30" width="17.77734375" bestFit="1" customWidth="1"/>
    <col min="49" max="49" width="18" style="165" bestFit="1" customWidth="1"/>
  </cols>
  <sheetData>
    <row r="1" spans="2:61" ht="14.25" customHeight="1" thickBot="1" x14ac:dyDescent="0.35">
      <c r="C1" s="6"/>
      <c r="D1" s="6"/>
      <c r="E1" s="6"/>
      <c r="F1" s="6"/>
      <c r="G1" s="6"/>
      <c r="H1" s="6"/>
      <c r="I1" s="6"/>
      <c r="J1" s="6"/>
      <c r="Q1" s="133"/>
      <c r="R1" s="133"/>
      <c r="S1" s="133"/>
      <c r="T1" s="133"/>
      <c r="U1" s="133"/>
      <c r="V1" s="133"/>
      <c r="W1" s="133"/>
      <c r="X1" s="133"/>
    </row>
    <row r="2" spans="2:61" ht="14.25" customHeight="1" thickBot="1" x14ac:dyDescent="0.35">
      <c r="B2" s="291" t="s">
        <v>557</v>
      </c>
      <c r="C2" s="153"/>
      <c r="D2" s="153"/>
      <c r="E2" s="153"/>
      <c r="F2" s="153"/>
      <c r="G2" s="153"/>
      <c r="H2" s="153"/>
      <c r="I2" s="153"/>
      <c r="J2" s="153"/>
      <c r="K2" s="187"/>
      <c r="M2" s="368" t="s">
        <v>146</v>
      </c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70"/>
      <c r="AH2" s="230" t="s">
        <v>466</v>
      </c>
      <c r="AI2" s="231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198"/>
      <c r="AV2" s="225"/>
      <c r="AW2" s="199"/>
      <c r="AX2" s="315"/>
      <c r="AY2" s="315"/>
      <c r="AZ2" s="315"/>
      <c r="BA2" s="315"/>
      <c r="BB2" s="315"/>
      <c r="BC2" s="315"/>
      <c r="BD2" s="315"/>
      <c r="BE2" s="315"/>
      <c r="BF2" s="315"/>
      <c r="BG2" s="315"/>
      <c r="BH2" s="315"/>
      <c r="BI2" s="187"/>
    </row>
    <row r="3" spans="2:61" ht="14.25" customHeight="1" thickBot="1" x14ac:dyDescent="0.35">
      <c r="B3" s="188"/>
      <c r="C3" s="147"/>
      <c r="D3" s="147"/>
      <c r="E3" s="147"/>
      <c r="F3" s="147"/>
      <c r="G3" s="147"/>
      <c r="H3" s="147"/>
      <c r="I3" s="147"/>
      <c r="J3" s="157"/>
      <c r="K3" s="189"/>
      <c r="M3" s="148" t="s">
        <v>23</v>
      </c>
      <c r="N3" s="149" t="s">
        <v>147</v>
      </c>
      <c r="O3" s="150" t="s">
        <v>422</v>
      </c>
      <c r="P3" s="150" t="s">
        <v>423</v>
      </c>
      <c r="Q3" s="150" t="s">
        <v>424</v>
      </c>
      <c r="R3" s="150" t="s">
        <v>425</v>
      </c>
      <c r="S3" s="150" t="s">
        <v>426</v>
      </c>
      <c r="T3" s="151" t="s">
        <v>460</v>
      </c>
      <c r="U3" s="150" t="s">
        <v>425</v>
      </c>
      <c r="V3" s="150" t="s">
        <v>426</v>
      </c>
      <c r="W3" s="150" t="s">
        <v>427</v>
      </c>
      <c r="X3" s="150" t="s">
        <v>428</v>
      </c>
      <c r="AH3" s="225" t="s">
        <v>467</v>
      </c>
      <c r="AI3" s="228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2"/>
      <c r="AV3" s="235" t="s">
        <v>492</v>
      </c>
      <c r="AW3" s="228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2"/>
    </row>
    <row r="4" spans="2:61" ht="14.25" customHeight="1" thickBot="1" x14ac:dyDescent="0.35">
      <c r="B4" s="371" t="s">
        <v>463</v>
      </c>
      <c r="C4" s="372"/>
      <c r="D4" s="375" t="s">
        <v>429</v>
      </c>
      <c r="E4" s="376"/>
      <c r="F4" s="376"/>
      <c r="G4" s="376"/>
      <c r="H4" s="376"/>
      <c r="I4" s="376"/>
      <c r="J4" s="376"/>
      <c r="K4" s="377"/>
      <c r="M4" s="6"/>
      <c r="N4" s="6"/>
      <c r="P4" s="133"/>
      <c r="Q4" s="133"/>
      <c r="R4" s="133"/>
      <c r="S4" s="133"/>
      <c r="T4" s="133"/>
      <c r="U4" s="133"/>
      <c r="V4" s="133"/>
      <c r="X4" s="133"/>
      <c r="AH4" s="226"/>
      <c r="AI4" s="203"/>
      <c r="AJ4" s="203" t="s">
        <v>514</v>
      </c>
      <c r="AK4" s="166"/>
      <c r="AL4" s="166"/>
      <c r="AM4" s="166"/>
      <c r="AN4" s="166"/>
      <c r="AO4" s="166"/>
      <c r="AP4" s="203" t="s">
        <v>515</v>
      </c>
      <c r="AQ4" s="166"/>
      <c r="AR4" s="166"/>
      <c r="AS4" s="166"/>
      <c r="AT4" s="166"/>
      <c r="AU4" s="193"/>
      <c r="AV4" s="160"/>
      <c r="AW4" s="166"/>
      <c r="AX4" s="203" t="s">
        <v>514</v>
      </c>
      <c r="AY4" s="166"/>
      <c r="AZ4" s="166"/>
      <c r="BA4" s="166"/>
      <c r="BB4" s="166"/>
      <c r="BC4" s="166"/>
      <c r="BD4" s="203" t="s">
        <v>515</v>
      </c>
      <c r="BE4" s="166"/>
      <c r="BF4" s="166"/>
      <c r="BG4" s="166"/>
      <c r="BH4" s="166"/>
      <c r="BI4" s="193"/>
    </row>
    <row r="5" spans="2:61" ht="14.25" customHeight="1" thickBot="1" x14ac:dyDescent="0.35">
      <c r="B5" s="373"/>
      <c r="C5" s="374"/>
      <c r="D5" s="375" t="s">
        <v>430</v>
      </c>
      <c r="E5" s="378"/>
      <c r="F5" s="379" t="s">
        <v>431</v>
      </c>
      <c r="G5" s="376"/>
      <c r="H5" s="378"/>
      <c r="I5" s="379" t="s">
        <v>432</v>
      </c>
      <c r="J5" s="376"/>
      <c r="K5" s="377"/>
      <c r="M5" s="167" t="s">
        <v>150</v>
      </c>
      <c r="N5" s="168"/>
      <c r="O5" s="169"/>
      <c r="P5" s="169"/>
      <c r="Q5" s="169"/>
      <c r="R5" s="169"/>
      <c r="S5" s="169"/>
      <c r="T5" s="169"/>
      <c r="U5" s="169"/>
      <c r="V5" s="169"/>
      <c r="W5" s="169"/>
      <c r="X5" s="170"/>
      <c r="Z5" s="177" t="s">
        <v>461</v>
      </c>
      <c r="AA5" s="177" t="s">
        <v>147</v>
      </c>
      <c r="AB5" s="218" t="s">
        <v>426</v>
      </c>
      <c r="AD5" s="238" t="s">
        <v>147</v>
      </c>
      <c r="AE5" s="239" t="s">
        <v>465</v>
      </c>
      <c r="AH5" s="226"/>
      <c r="AI5" s="166"/>
      <c r="AJ5" s="166" t="s">
        <v>124</v>
      </c>
      <c r="AK5" s="166"/>
      <c r="AL5" s="166"/>
      <c r="AM5" s="166"/>
      <c r="AN5" s="166"/>
      <c r="AO5" s="166"/>
      <c r="AP5" s="166" t="s">
        <v>124</v>
      </c>
      <c r="AQ5" s="166"/>
      <c r="AR5" s="166"/>
      <c r="AS5" s="166"/>
      <c r="AT5" s="166"/>
      <c r="AU5" s="193"/>
      <c r="AV5" s="160"/>
      <c r="AW5" s="166"/>
      <c r="AX5" s="166" t="s">
        <v>124</v>
      </c>
      <c r="AY5" s="166"/>
      <c r="AZ5" s="166"/>
      <c r="BA5" s="166"/>
      <c r="BB5" s="166"/>
      <c r="BC5" s="166"/>
      <c r="BD5" s="166" t="s">
        <v>124</v>
      </c>
      <c r="BE5" s="166"/>
      <c r="BF5" s="166"/>
      <c r="BG5" s="166"/>
      <c r="BH5" s="166"/>
      <c r="BI5" s="193"/>
    </row>
    <row r="6" spans="2:61" ht="14.25" customHeight="1" thickBot="1" x14ac:dyDescent="0.35">
      <c r="B6" s="311" t="s">
        <v>464</v>
      </c>
      <c r="C6" s="190" t="s">
        <v>462</v>
      </c>
      <c r="D6" s="312" t="s">
        <v>152</v>
      </c>
      <c r="E6" s="313" t="s">
        <v>433</v>
      </c>
      <c r="F6" s="313" t="s">
        <v>152</v>
      </c>
      <c r="G6" s="313" t="s">
        <v>434</v>
      </c>
      <c r="H6" s="313" t="s">
        <v>433</v>
      </c>
      <c r="I6" s="313" t="s">
        <v>152</v>
      </c>
      <c r="J6" s="313" t="s">
        <v>434</v>
      </c>
      <c r="K6" s="314" t="s">
        <v>433</v>
      </c>
      <c r="M6" s="156">
        <v>20</v>
      </c>
      <c r="N6" s="123" t="s">
        <v>156</v>
      </c>
      <c r="O6" s="166"/>
      <c r="P6" s="158">
        <v>2</v>
      </c>
      <c r="Q6" s="158">
        <v>2</v>
      </c>
      <c r="R6" s="158" t="s">
        <v>435</v>
      </c>
      <c r="S6" s="158" t="s">
        <v>436</v>
      </c>
      <c r="T6" s="158">
        <v>2</v>
      </c>
      <c r="U6" s="158" t="s">
        <v>435</v>
      </c>
      <c r="V6" s="158" t="s">
        <v>436</v>
      </c>
      <c r="W6" s="158" t="s">
        <v>437</v>
      </c>
      <c r="X6" s="159" t="s">
        <v>438</v>
      </c>
      <c r="Z6" s="173" t="s">
        <v>156</v>
      </c>
      <c r="AA6" s="195">
        <v>1</v>
      </c>
      <c r="AB6" s="215" t="s">
        <v>543</v>
      </c>
      <c r="AD6" s="200">
        <v>0</v>
      </c>
      <c r="AE6" s="236">
        <v>2</v>
      </c>
      <c r="AH6" s="200" t="s">
        <v>128</v>
      </c>
      <c r="AI6" s="166" t="s">
        <v>520</v>
      </c>
      <c r="AJ6" s="166" t="s">
        <v>433</v>
      </c>
      <c r="AK6" s="166"/>
      <c r="AL6" s="166"/>
      <c r="AM6" s="166" t="s">
        <v>516</v>
      </c>
      <c r="AN6" s="166"/>
      <c r="AO6" s="166"/>
      <c r="AP6" s="166" t="s">
        <v>433</v>
      </c>
      <c r="AQ6" s="166"/>
      <c r="AR6" s="166"/>
      <c r="AS6" s="166" t="s">
        <v>516</v>
      </c>
      <c r="AT6" s="166"/>
      <c r="AU6" s="193"/>
      <c r="AV6" s="234" t="s">
        <v>128</v>
      </c>
      <c r="AW6" s="166" t="s">
        <v>520</v>
      </c>
      <c r="AX6" s="166" t="s">
        <v>433</v>
      </c>
      <c r="AY6" s="166"/>
      <c r="AZ6" s="166"/>
      <c r="BA6" s="166" t="s">
        <v>516</v>
      </c>
      <c r="BB6" s="166"/>
      <c r="BC6" s="166"/>
      <c r="BD6" s="166" t="s">
        <v>433</v>
      </c>
      <c r="BE6" s="166"/>
      <c r="BF6" s="166"/>
      <c r="BG6" s="166" t="s">
        <v>516</v>
      </c>
      <c r="BH6" s="166"/>
      <c r="BI6" s="193"/>
    </row>
    <row r="7" spans="2:61" ht="14.25" customHeight="1" thickBot="1" x14ac:dyDescent="0.35">
      <c r="B7" s="179">
        <v>2</v>
      </c>
      <c r="C7" s="166">
        <v>1.6</v>
      </c>
      <c r="D7" s="136">
        <v>5.8000000000000003E-2</v>
      </c>
      <c r="E7" s="137">
        <v>7.2999999999999995E-2</v>
      </c>
      <c r="F7" s="138">
        <v>3.1</v>
      </c>
      <c r="G7" s="138">
        <v>3.1</v>
      </c>
      <c r="H7" s="139">
        <v>3.1</v>
      </c>
      <c r="I7" s="138" t="s">
        <v>176</v>
      </c>
      <c r="J7" s="138" t="s">
        <v>176</v>
      </c>
      <c r="K7" s="180" t="s">
        <v>176</v>
      </c>
      <c r="M7" s="160">
        <v>30</v>
      </c>
      <c r="N7" s="147" t="s">
        <v>161</v>
      </c>
      <c r="O7" s="166"/>
      <c r="P7" s="158">
        <v>2</v>
      </c>
      <c r="Q7" s="158">
        <v>5.5</v>
      </c>
      <c r="R7" s="158" t="s">
        <v>439</v>
      </c>
      <c r="S7" s="158" t="s">
        <v>436</v>
      </c>
      <c r="T7" s="158">
        <v>2</v>
      </c>
      <c r="U7" s="158" t="s">
        <v>435</v>
      </c>
      <c r="V7" s="158" t="s">
        <v>440</v>
      </c>
      <c r="W7" s="158" t="s">
        <v>441</v>
      </c>
      <c r="X7" s="159" t="s">
        <v>438</v>
      </c>
      <c r="Z7" s="174" t="s">
        <v>161</v>
      </c>
      <c r="AA7" s="196">
        <v>2</v>
      </c>
      <c r="AB7" s="216" t="s">
        <v>543</v>
      </c>
      <c r="AD7" s="200">
        <v>1</v>
      </c>
      <c r="AE7" s="236">
        <v>3.5</v>
      </c>
      <c r="AG7" s="165"/>
      <c r="AH7" s="227"/>
      <c r="AI7" s="191"/>
      <c r="AJ7" s="191" t="s">
        <v>517</v>
      </c>
      <c r="AK7" s="191" t="s">
        <v>518</v>
      </c>
      <c r="AL7" s="191" t="s">
        <v>519</v>
      </c>
      <c r="AM7" s="191" t="s">
        <v>517</v>
      </c>
      <c r="AN7" s="191" t="s">
        <v>518</v>
      </c>
      <c r="AO7" s="191" t="s">
        <v>519</v>
      </c>
      <c r="AP7" s="191" t="s">
        <v>517</v>
      </c>
      <c r="AQ7" s="191" t="s">
        <v>518</v>
      </c>
      <c r="AR7" s="191" t="s">
        <v>519</v>
      </c>
      <c r="AS7" s="191" t="s">
        <v>517</v>
      </c>
      <c r="AT7" s="191" t="s">
        <v>518</v>
      </c>
      <c r="AU7" s="194" t="s">
        <v>519</v>
      </c>
      <c r="AV7" s="161"/>
      <c r="AW7" s="191"/>
      <c r="AX7" s="191" t="s">
        <v>517</v>
      </c>
      <c r="AY7" s="191" t="s">
        <v>518</v>
      </c>
      <c r="AZ7" s="191" t="s">
        <v>519</v>
      </c>
      <c r="BA7" s="191" t="s">
        <v>517</v>
      </c>
      <c r="BB7" s="191" t="s">
        <v>518</v>
      </c>
      <c r="BC7" s="191" t="s">
        <v>519</v>
      </c>
      <c r="BD7" s="191" t="s">
        <v>517</v>
      </c>
      <c r="BE7" s="191" t="s">
        <v>518</v>
      </c>
      <c r="BF7" s="191" t="s">
        <v>519</v>
      </c>
      <c r="BG7" s="191" t="s">
        <v>517</v>
      </c>
      <c r="BH7" s="191" t="s">
        <v>518</v>
      </c>
      <c r="BI7" s="194" t="s">
        <v>519</v>
      </c>
    </row>
    <row r="8" spans="2:61" ht="14.25" customHeight="1" thickBot="1" x14ac:dyDescent="0.35">
      <c r="B8" s="179">
        <v>3.5</v>
      </c>
      <c r="C8" s="166">
        <v>2</v>
      </c>
      <c r="D8" s="136">
        <v>5.3999999999999999E-2</v>
      </c>
      <c r="E8" s="137">
        <v>6.8000000000000005E-2</v>
      </c>
      <c r="F8" s="138">
        <v>2</v>
      </c>
      <c r="G8" s="138">
        <v>2</v>
      </c>
      <c r="H8" s="139">
        <v>2</v>
      </c>
      <c r="I8" s="138">
        <v>3.2</v>
      </c>
      <c r="J8" s="138">
        <v>3.2</v>
      </c>
      <c r="K8" s="180">
        <v>3.2</v>
      </c>
      <c r="M8" s="156">
        <v>40</v>
      </c>
      <c r="N8" s="123" t="s">
        <v>163</v>
      </c>
      <c r="O8" s="166"/>
      <c r="P8" s="158">
        <v>2</v>
      </c>
      <c r="Q8" s="158">
        <v>8</v>
      </c>
      <c r="R8" s="158" t="s">
        <v>439</v>
      </c>
      <c r="S8" s="158" t="s">
        <v>442</v>
      </c>
      <c r="T8" s="158">
        <v>5.5</v>
      </c>
      <c r="U8" s="158" t="s">
        <v>439</v>
      </c>
      <c r="V8" s="158" t="s">
        <v>440</v>
      </c>
      <c r="W8" s="158" t="s">
        <v>441</v>
      </c>
      <c r="X8" s="159" t="s">
        <v>438</v>
      </c>
      <c r="Z8" s="175" t="s">
        <v>163</v>
      </c>
      <c r="AA8" s="196">
        <v>3</v>
      </c>
      <c r="AB8" s="216" t="s">
        <v>543</v>
      </c>
      <c r="AD8" s="200">
        <v>2</v>
      </c>
      <c r="AE8" s="236">
        <v>5.5</v>
      </c>
      <c r="AG8" s="165"/>
      <c r="AH8" s="226"/>
      <c r="AI8" s="166"/>
      <c r="AJ8" s="316" t="s">
        <v>585</v>
      </c>
      <c r="AK8" s="316" t="s">
        <v>586</v>
      </c>
      <c r="AL8" s="316" t="s">
        <v>587</v>
      </c>
      <c r="AM8" s="316" t="s">
        <v>588</v>
      </c>
      <c r="AN8" s="316" t="s">
        <v>589</v>
      </c>
      <c r="AO8" s="316" t="s">
        <v>590</v>
      </c>
      <c r="AP8" s="316" t="s">
        <v>592</v>
      </c>
      <c r="AQ8" s="316" t="s">
        <v>593</v>
      </c>
      <c r="AR8" s="316" t="s">
        <v>594</v>
      </c>
      <c r="AS8" s="316" t="s">
        <v>591</v>
      </c>
      <c r="AT8" s="316" t="s">
        <v>595</v>
      </c>
      <c r="AU8" s="317" t="s">
        <v>596</v>
      </c>
      <c r="AV8" s="310"/>
      <c r="AW8" s="229"/>
      <c r="AX8" s="318" t="s">
        <v>600</v>
      </c>
      <c r="AY8" s="318" t="s">
        <v>601</v>
      </c>
      <c r="AZ8" s="318" t="s">
        <v>602</v>
      </c>
      <c r="BA8" s="318" t="s">
        <v>603</v>
      </c>
      <c r="BB8" s="318" t="s">
        <v>604</v>
      </c>
      <c r="BC8" s="318" t="s">
        <v>605</v>
      </c>
      <c r="BD8" s="318" t="s">
        <v>606</v>
      </c>
      <c r="BE8" s="318" t="s">
        <v>607</v>
      </c>
      <c r="BF8" s="318" t="s">
        <v>608</v>
      </c>
      <c r="BG8" s="318" t="s">
        <v>609</v>
      </c>
      <c r="BH8" s="318" t="s">
        <v>610</v>
      </c>
      <c r="BI8" s="319" t="s">
        <v>611</v>
      </c>
    </row>
    <row r="9" spans="2:61" ht="14.25" customHeight="1" x14ac:dyDescent="0.3">
      <c r="B9" s="179">
        <v>5.5</v>
      </c>
      <c r="C9" s="166">
        <v>2.6</v>
      </c>
      <c r="D9" s="136">
        <v>0.05</v>
      </c>
      <c r="E9" s="137">
        <v>6.3E-2</v>
      </c>
      <c r="F9" s="138">
        <v>1.2</v>
      </c>
      <c r="G9" s="138">
        <v>1.2</v>
      </c>
      <c r="H9" s="139">
        <v>1.2</v>
      </c>
      <c r="I9" s="138">
        <v>2</v>
      </c>
      <c r="J9" s="138">
        <v>2</v>
      </c>
      <c r="K9" s="180">
        <v>2</v>
      </c>
      <c r="M9" s="160" t="s">
        <v>165</v>
      </c>
      <c r="N9" s="147" t="s">
        <v>166</v>
      </c>
      <c r="O9" s="166"/>
      <c r="P9" s="158">
        <v>2</v>
      </c>
      <c r="Q9" s="158">
        <v>14</v>
      </c>
      <c r="R9" s="158" t="s">
        <v>439</v>
      </c>
      <c r="S9" s="158" t="s">
        <v>436</v>
      </c>
      <c r="T9" s="158">
        <v>8</v>
      </c>
      <c r="U9" s="158" t="s">
        <v>439</v>
      </c>
      <c r="V9" s="158" t="s">
        <v>436</v>
      </c>
      <c r="W9" s="158" t="s">
        <v>443</v>
      </c>
      <c r="X9" s="159" t="s">
        <v>438</v>
      </c>
      <c r="Z9" s="174" t="s">
        <v>166</v>
      </c>
      <c r="AA9" s="196">
        <v>4</v>
      </c>
      <c r="AB9" s="216" t="s">
        <v>543</v>
      </c>
      <c r="AD9" s="200">
        <v>3</v>
      </c>
      <c r="AE9" s="236">
        <v>8</v>
      </c>
      <c r="AG9" s="165"/>
      <c r="AH9" s="232">
        <v>2</v>
      </c>
      <c r="AI9" s="199">
        <v>14</v>
      </c>
      <c r="AJ9" s="199">
        <v>389</v>
      </c>
      <c r="AK9" s="199" t="s">
        <v>176</v>
      </c>
      <c r="AL9" s="199" t="s">
        <v>176</v>
      </c>
      <c r="AM9" s="199">
        <v>389</v>
      </c>
      <c r="AN9" s="199" t="s">
        <v>176</v>
      </c>
      <c r="AO9" s="199" t="s">
        <v>176</v>
      </c>
      <c r="AP9" s="199">
        <v>389</v>
      </c>
      <c r="AQ9" s="199" t="s">
        <v>176</v>
      </c>
      <c r="AR9" s="199" t="s">
        <v>176</v>
      </c>
      <c r="AS9" s="199">
        <v>389</v>
      </c>
      <c r="AT9" s="199" t="s">
        <v>176</v>
      </c>
      <c r="AU9" s="192" t="s">
        <v>176</v>
      </c>
      <c r="AV9" s="160">
        <v>2</v>
      </c>
      <c r="AW9" s="166">
        <v>14</v>
      </c>
      <c r="AX9" s="166">
        <v>237</v>
      </c>
      <c r="AY9" s="166" t="s">
        <v>176</v>
      </c>
      <c r="AZ9" s="166" t="s">
        <v>176</v>
      </c>
      <c r="BA9" s="166">
        <v>237</v>
      </c>
      <c r="BB9" s="166" t="s">
        <v>176</v>
      </c>
      <c r="BC9" s="166" t="s">
        <v>176</v>
      </c>
      <c r="BD9" s="166">
        <v>237</v>
      </c>
      <c r="BE9" s="166" t="s">
        <v>176</v>
      </c>
      <c r="BF9" s="166" t="s">
        <v>176</v>
      </c>
      <c r="BG9" s="166">
        <v>237</v>
      </c>
      <c r="BH9" s="166" t="s">
        <v>176</v>
      </c>
      <c r="BI9" s="193" t="s">
        <v>176</v>
      </c>
    </row>
    <row r="10" spans="2:61" ht="14.25" customHeight="1" x14ac:dyDescent="0.3">
      <c r="B10" s="179">
        <v>8</v>
      </c>
      <c r="C10" s="166">
        <v>3.2</v>
      </c>
      <c r="D10" s="136">
        <v>5.1999999999999998E-2</v>
      </c>
      <c r="E10" s="137">
        <v>6.5000000000000002E-2</v>
      </c>
      <c r="F10" s="138">
        <v>0.78</v>
      </c>
      <c r="G10" s="138">
        <v>0.78</v>
      </c>
      <c r="H10" s="139">
        <v>0.78</v>
      </c>
      <c r="I10" s="138">
        <v>1.3</v>
      </c>
      <c r="J10" s="138">
        <v>1.3</v>
      </c>
      <c r="K10" s="180">
        <v>1.3</v>
      </c>
      <c r="M10" s="156" t="s">
        <v>168</v>
      </c>
      <c r="N10" s="123" t="s">
        <v>169</v>
      </c>
      <c r="O10" s="166"/>
      <c r="P10" s="158">
        <v>2</v>
      </c>
      <c r="Q10" s="158">
        <v>22</v>
      </c>
      <c r="R10" s="158" t="s">
        <v>439</v>
      </c>
      <c r="S10" s="158" t="s">
        <v>436</v>
      </c>
      <c r="T10" s="158">
        <v>8</v>
      </c>
      <c r="U10" s="158" t="s">
        <v>439</v>
      </c>
      <c r="V10" s="158" t="s">
        <v>436</v>
      </c>
      <c r="W10" s="158" t="s">
        <v>444</v>
      </c>
      <c r="X10" s="159" t="s">
        <v>438</v>
      </c>
      <c r="Z10" s="175" t="s">
        <v>169</v>
      </c>
      <c r="AA10" s="196">
        <v>5</v>
      </c>
      <c r="AB10" s="216" t="s">
        <v>543</v>
      </c>
      <c r="AD10" s="200">
        <v>4</v>
      </c>
      <c r="AE10" s="236">
        <v>14</v>
      </c>
      <c r="AG10" s="165"/>
      <c r="AH10" s="160">
        <v>3.5</v>
      </c>
      <c r="AI10" s="166">
        <v>12</v>
      </c>
      <c r="AJ10" s="166">
        <v>617</v>
      </c>
      <c r="AK10" s="166" t="s">
        <v>176</v>
      </c>
      <c r="AL10" s="166" t="s">
        <v>176</v>
      </c>
      <c r="AM10" s="166">
        <v>617</v>
      </c>
      <c r="AN10" s="166" t="s">
        <v>176</v>
      </c>
      <c r="AO10" s="166" t="s">
        <v>176</v>
      </c>
      <c r="AP10" s="166">
        <v>617</v>
      </c>
      <c r="AQ10" s="166" t="s">
        <v>176</v>
      </c>
      <c r="AR10" s="166" t="s">
        <v>176</v>
      </c>
      <c r="AS10" s="166">
        <v>617</v>
      </c>
      <c r="AT10" s="166" t="s">
        <v>176</v>
      </c>
      <c r="AU10" s="193" t="s">
        <v>176</v>
      </c>
      <c r="AV10" s="160">
        <v>3.5</v>
      </c>
      <c r="AW10" s="166">
        <v>12</v>
      </c>
      <c r="AX10" s="166">
        <v>376</v>
      </c>
      <c r="AY10" s="166" t="s">
        <v>176</v>
      </c>
      <c r="AZ10" s="166" t="s">
        <v>176</v>
      </c>
      <c r="BA10" s="166">
        <v>376</v>
      </c>
      <c r="BB10" s="166" t="s">
        <v>176</v>
      </c>
      <c r="BC10" s="166" t="s">
        <v>176</v>
      </c>
      <c r="BD10" s="166">
        <v>376</v>
      </c>
      <c r="BE10" s="166" t="s">
        <v>176</v>
      </c>
      <c r="BF10" s="166" t="s">
        <v>176</v>
      </c>
      <c r="BG10" s="166">
        <v>376</v>
      </c>
      <c r="BH10" s="166" t="s">
        <v>176</v>
      </c>
      <c r="BI10" s="193" t="s">
        <v>176</v>
      </c>
    </row>
    <row r="11" spans="2:61" ht="14.25" customHeight="1" x14ac:dyDescent="0.3">
      <c r="B11" s="179">
        <v>14</v>
      </c>
      <c r="C11" s="166" t="s">
        <v>176</v>
      </c>
      <c r="D11" s="136">
        <v>5.0999999999999997E-2</v>
      </c>
      <c r="E11" s="140">
        <v>6.4000000000000001E-2</v>
      </c>
      <c r="F11" s="138">
        <v>0.49</v>
      </c>
      <c r="G11" s="138">
        <v>0.49</v>
      </c>
      <c r="H11" s="139">
        <v>0.49</v>
      </c>
      <c r="I11" s="138">
        <v>0.81</v>
      </c>
      <c r="J11" s="138">
        <v>0.81</v>
      </c>
      <c r="K11" s="180">
        <v>0.81</v>
      </c>
      <c r="M11" s="160">
        <v>100</v>
      </c>
      <c r="N11" s="147" t="s">
        <v>171</v>
      </c>
      <c r="O11" s="166"/>
      <c r="P11" s="158">
        <v>2</v>
      </c>
      <c r="Q11" s="158">
        <v>30</v>
      </c>
      <c r="R11" s="158" t="s">
        <v>439</v>
      </c>
      <c r="S11" s="158" t="s">
        <v>436</v>
      </c>
      <c r="T11" s="158">
        <v>8</v>
      </c>
      <c r="U11" s="158" t="s">
        <v>439</v>
      </c>
      <c r="V11" s="158" t="s">
        <v>440</v>
      </c>
      <c r="W11" s="158" t="s">
        <v>444</v>
      </c>
      <c r="X11" s="159" t="s">
        <v>438</v>
      </c>
      <c r="Z11" s="174" t="s">
        <v>171</v>
      </c>
      <c r="AA11" s="196">
        <v>6</v>
      </c>
      <c r="AB11" s="216" t="s">
        <v>543</v>
      </c>
      <c r="AD11" s="200">
        <v>5</v>
      </c>
      <c r="AE11" s="236">
        <v>22</v>
      </c>
      <c r="AG11" s="165"/>
      <c r="AH11" s="160">
        <v>5.5</v>
      </c>
      <c r="AI11" s="166">
        <v>10</v>
      </c>
      <c r="AJ11" s="166">
        <v>981</v>
      </c>
      <c r="AK11" s="166" t="s">
        <v>176</v>
      </c>
      <c r="AL11" s="166" t="s">
        <v>176</v>
      </c>
      <c r="AM11" s="166">
        <v>982</v>
      </c>
      <c r="AN11" s="166" t="s">
        <v>176</v>
      </c>
      <c r="AO11" s="166" t="s">
        <v>176</v>
      </c>
      <c r="AP11" s="166">
        <v>982</v>
      </c>
      <c r="AQ11" s="166" t="s">
        <v>176</v>
      </c>
      <c r="AR11" s="166" t="s">
        <v>176</v>
      </c>
      <c r="AS11" s="166">
        <v>982</v>
      </c>
      <c r="AT11" s="166" t="s">
        <v>176</v>
      </c>
      <c r="AU11" s="193" t="s">
        <v>176</v>
      </c>
      <c r="AV11" s="160">
        <v>5.5</v>
      </c>
      <c r="AW11" s="166">
        <v>10</v>
      </c>
      <c r="AX11" s="166">
        <v>599</v>
      </c>
      <c r="AY11" s="166" t="s">
        <v>176</v>
      </c>
      <c r="AZ11" s="166" t="s">
        <v>176</v>
      </c>
      <c r="BA11" s="166">
        <v>599</v>
      </c>
      <c r="BB11" s="166" t="s">
        <v>176</v>
      </c>
      <c r="BC11" s="166" t="s">
        <v>176</v>
      </c>
      <c r="BD11" s="166">
        <v>599</v>
      </c>
      <c r="BE11" s="166" t="s">
        <v>176</v>
      </c>
      <c r="BF11" s="166" t="s">
        <v>176</v>
      </c>
      <c r="BG11" s="166">
        <v>599</v>
      </c>
      <c r="BH11" s="166" t="s">
        <v>176</v>
      </c>
      <c r="BI11" s="193" t="s">
        <v>176</v>
      </c>
    </row>
    <row r="12" spans="2:61" ht="14.25" customHeight="1" x14ac:dyDescent="0.3">
      <c r="B12" s="179">
        <v>22</v>
      </c>
      <c r="C12" s="166" t="s">
        <v>176</v>
      </c>
      <c r="D12" s="136">
        <v>4.8000000000000001E-2</v>
      </c>
      <c r="E12" s="140">
        <v>0.06</v>
      </c>
      <c r="F12" s="138">
        <v>0.31</v>
      </c>
      <c r="G12" s="138">
        <v>0.31</v>
      </c>
      <c r="H12" s="139">
        <v>0.31</v>
      </c>
      <c r="I12" s="138">
        <v>0.51</v>
      </c>
      <c r="J12" s="138">
        <v>0.51</v>
      </c>
      <c r="K12" s="180">
        <v>0.51</v>
      </c>
      <c r="M12" s="156">
        <v>125</v>
      </c>
      <c r="N12" s="123" t="s">
        <v>173</v>
      </c>
      <c r="O12" s="166"/>
      <c r="P12" s="158">
        <v>2</v>
      </c>
      <c r="Q12" s="158">
        <v>50</v>
      </c>
      <c r="R12" s="158" t="s">
        <v>439</v>
      </c>
      <c r="S12" s="158" t="s">
        <v>436</v>
      </c>
      <c r="T12" s="158">
        <v>14</v>
      </c>
      <c r="U12" s="158" t="s">
        <v>439</v>
      </c>
      <c r="V12" s="158" t="s">
        <v>440</v>
      </c>
      <c r="W12" s="158" t="s">
        <v>445</v>
      </c>
      <c r="X12" s="159" t="s">
        <v>438</v>
      </c>
      <c r="Z12" s="175" t="s">
        <v>173</v>
      </c>
      <c r="AA12" s="196">
        <v>8</v>
      </c>
      <c r="AB12" s="216" t="s">
        <v>543</v>
      </c>
      <c r="AD12" s="200">
        <v>6</v>
      </c>
      <c r="AE12" s="236">
        <v>30</v>
      </c>
      <c r="AG12" s="165"/>
      <c r="AH12" s="160">
        <v>8</v>
      </c>
      <c r="AI12" s="166">
        <v>8</v>
      </c>
      <c r="AJ12" s="166">
        <v>1557</v>
      </c>
      <c r="AK12" s="166">
        <v>1551</v>
      </c>
      <c r="AL12" s="166" t="s">
        <v>176</v>
      </c>
      <c r="AM12" s="166">
        <v>1559</v>
      </c>
      <c r="AN12" s="166">
        <v>1555</v>
      </c>
      <c r="AO12" s="166" t="s">
        <v>176</v>
      </c>
      <c r="AP12" s="166">
        <v>1559</v>
      </c>
      <c r="AQ12" s="166">
        <v>1557</v>
      </c>
      <c r="AR12" s="166" t="s">
        <v>176</v>
      </c>
      <c r="AS12" s="166">
        <v>1560</v>
      </c>
      <c r="AT12" s="166">
        <v>1558</v>
      </c>
      <c r="AU12" s="193" t="s">
        <v>176</v>
      </c>
      <c r="AV12" s="160">
        <v>8</v>
      </c>
      <c r="AW12" s="166">
        <v>8</v>
      </c>
      <c r="AX12" s="166">
        <v>951</v>
      </c>
      <c r="AY12" s="166">
        <v>950</v>
      </c>
      <c r="AZ12" s="166" t="s">
        <v>176</v>
      </c>
      <c r="BA12" s="166">
        <v>952</v>
      </c>
      <c r="BB12" s="166">
        <v>951</v>
      </c>
      <c r="BC12" s="166" t="s">
        <v>176</v>
      </c>
      <c r="BD12" s="166">
        <v>952</v>
      </c>
      <c r="BE12" s="166">
        <v>951</v>
      </c>
      <c r="BF12" s="166" t="s">
        <v>176</v>
      </c>
      <c r="BG12" s="166">
        <v>952</v>
      </c>
      <c r="BH12" s="166">
        <v>952</v>
      </c>
      <c r="BI12" s="193" t="s">
        <v>176</v>
      </c>
    </row>
    <row r="13" spans="2:61" ht="14.25" customHeight="1" x14ac:dyDescent="0.3">
      <c r="B13" s="179">
        <v>30</v>
      </c>
      <c r="C13" s="166" t="s">
        <v>176</v>
      </c>
      <c r="D13" s="136">
        <v>4.4999999999999998E-2</v>
      </c>
      <c r="E13" s="140">
        <v>5.7000000000000002E-2</v>
      </c>
      <c r="F13" s="138">
        <v>0.19</v>
      </c>
      <c r="G13" s="138">
        <v>0.2</v>
      </c>
      <c r="H13" s="139">
        <v>0.2</v>
      </c>
      <c r="I13" s="138">
        <v>0.32</v>
      </c>
      <c r="J13" s="138">
        <v>0.32</v>
      </c>
      <c r="K13" s="180">
        <v>0.32</v>
      </c>
      <c r="M13" s="160">
        <v>150</v>
      </c>
      <c r="N13" s="147" t="s">
        <v>175</v>
      </c>
      <c r="O13" s="166"/>
      <c r="P13" s="158">
        <v>2</v>
      </c>
      <c r="Q13" s="158">
        <v>60</v>
      </c>
      <c r="R13" s="158" t="s">
        <v>439</v>
      </c>
      <c r="S13" s="158" t="s">
        <v>436</v>
      </c>
      <c r="T13" s="158">
        <v>14</v>
      </c>
      <c r="U13" s="158" t="s">
        <v>439</v>
      </c>
      <c r="V13" s="158" t="s">
        <v>440</v>
      </c>
      <c r="W13" s="158" t="s">
        <v>445</v>
      </c>
      <c r="X13" s="159" t="s">
        <v>438</v>
      </c>
      <c r="Z13" s="174" t="s">
        <v>175</v>
      </c>
      <c r="AA13" s="196">
        <v>9</v>
      </c>
      <c r="AB13" s="216" t="s">
        <v>543</v>
      </c>
      <c r="AD13" s="200">
        <v>7</v>
      </c>
      <c r="AE13" s="236">
        <v>38</v>
      </c>
      <c r="AG13" s="165"/>
      <c r="AH13" s="160">
        <v>14</v>
      </c>
      <c r="AI13" s="166">
        <v>6</v>
      </c>
      <c r="AJ13" s="166">
        <v>2425</v>
      </c>
      <c r="AK13" s="166">
        <v>2406</v>
      </c>
      <c r="AL13" s="166">
        <v>2389</v>
      </c>
      <c r="AM13" s="166">
        <v>2430</v>
      </c>
      <c r="AN13" s="166">
        <v>2418</v>
      </c>
      <c r="AO13" s="166">
        <v>2407</v>
      </c>
      <c r="AP13" s="166">
        <v>2431</v>
      </c>
      <c r="AQ13" s="166">
        <v>2425</v>
      </c>
      <c r="AR13" s="166">
        <v>2415</v>
      </c>
      <c r="AS13" s="166">
        <v>2433</v>
      </c>
      <c r="AT13" s="166">
        <v>2428</v>
      </c>
      <c r="AU13" s="193">
        <v>2421</v>
      </c>
      <c r="AV13" s="160">
        <v>14</v>
      </c>
      <c r="AW13" s="166">
        <v>6</v>
      </c>
      <c r="AX13" s="166">
        <v>1481</v>
      </c>
      <c r="AY13" s="166">
        <v>1476</v>
      </c>
      <c r="AZ13" s="166">
        <v>1472</v>
      </c>
      <c r="BA13" s="166">
        <v>1482</v>
      </c>
      <c r="BB13" s="166">
        <v>1479</v>
      </c>
      <c r="BC13" s="166">
        <v>1476</v>
      </c>
      <c r="BD13" s="166">
        <v>1482</v>
      </c>
      <c r="BE13" s="166">
        <v>1480</v>
      </c>
      <c r="BF13" s="166">
        <v>1478</v>
      </c>
      <c r="BG13" s="166">
        <v>1482</v>
      </c>
      <c r="BH13" s="166">
        <v>1481</v>
      </c>
      <c r="BI13" s="193">
        <v>1479</v>
      </c>
    </row>
    <row r="14" spans="2:61" ht="14.25" customHeight="1" x14ac:dyDescent="0.3">
      <c r="B14" s="179">
        <v>38</v>
      </c>
      <c r="C14" s="166" t="s">
        <v>176</v>
      </c>
      <c r="D14" s="136">
        <v>4.5999999999999999E-2</v>
      </c>
      <c r="E14" s="140">
        <v>5.7000000000000002E-2</v>
      </c>
      <c r="F14" s="138">
        <v>0.15</v>
      </c>
      <c r="G14" s="138">
        <v>0.16</v>
      </c>
      <c r="H14" s="139">
        <v>0.16</v>
      </c>
      <c r="I14" s="138">
        <v>0.25</v>
      </c>
      <c r="J14" s="138">
        <v>0.26</v>
      </c>
      <c r="K14" s="180">
        <v>0.25</v>
      </c>
      <c r="M14" s="156">
        <v>200</v>
      </c>
      <c r="N14" s="123" t="s">
        <v>177</v>
      </c>
      <c r="O14" s="166"/>
      <c r="P14" s="158">
        <v>2</v>
      </c>
      <c r="Q14" s="158">
        <v>80</v>
      </c>
      <c r="R14" s="158" t="s">
        <v>439</v>
      </c>
      <c r="S14" s="158" t="s">
        <v>436</v>
      </c>
      <c r="T14" s="158">
        <v>22</v>
      </c>
      <c r="U14" s="158" t="s">
        <v>439</v>
      </c>
      <c r="V14" s="158" t="s">
        <v>440</v>
      </c>
      <c r="W14" s="158" t="s">
        <v>445</v>
      </c>
      <c r="X14" s="159" t="s">
        <v>438</v>
      </c>
      <c r="Z14" s="175" t="s">
        <v>177</v>
      </c>
      <c r="AA14" s="196">
        <v>10</v>
      </c>
      <c r="AB14" s="216" t="s">
        <v>543</v>
      </c>
      <c r="AD14" s="200">
        <v>8</v>
      </c>
      <c r="AE14" s="236">
        <v>50</v>
      </c>
      <c r="AG14" s="165"/>
      <c r="AH14" s="160">
        <v>22</v>
      </c>
      <c r="AI14" s="166">
        <v>4</v>
      </c>
      <c r="AJ14" s="166">
        <v>3806</v>
      </c>
      <c r="AK14" s="166">
        <v>3751</v>
      </c>
      <c r="AL14" s="166">
        <v>3696</v>
      </c>
      <c r="AM14" s="166">
        <v>3826</v>
      </c>
      <c r="AN14" s="166">
        <v>3789</v>
      </c>
      <c r="AO14" s="166">
        <v>3753</v>
      </c>
      <c r="AP14" s="166">
        <v>3830</v>
      </c>
      <c r="AQ14" s="166">
        <v>3812</v>
      </c>
      <c r="AR14" s="166">
        <v>3779</v>
      </c>
      <c r="AS14" s="166">
        <v>3838</v>
      </c>
      <c r="AT14" s="166">
        <v>3823</v>
      </c>
      <c r="AU14" s="193">
        <v>3798</v>
      </c>
      <c r="AV14" s="160">
        <v>22</v>
      </c>
      <c r="AW14" s="166">
        <v>4</v>
      </c>
      <c r="AX14" s="166">
        <v>2346</v>
      </c>
      <c r="AY14" s="166">
        <v>2333</v>
      </c>
      <c r="AZ14" s="166">
        <v>2319</v>
      </c>
      <c r="BA14" s="166">
        <v>2350</v>
      </c>
      <c r="BB14" s="166">
        <v>2342</v>
      </c>
      <c r="BC14" s="166">
        <v>2333</v>
      </c>
      <c r="BD14" s="166">
        <v>2351</v>
      </c>
      <c r="BE14" s="166">
        <v>2347</v>
      </c>
      <c r="BF14" s="166">
        <v>2339</v>
      </c>
      <c r="BG14" s="166">
        <v>2353</v>
      </c>
      <c r="BH14" s="166">
        <v>2350</v>
      </c>
      <c r="BI14" s="193">
        <v>2344</v>
      </c>
    </row>
    <row r="15" spans="2:61" ht="14.25" customHeight="1" x14ac:dyDescent="0.3">
      <c r="B15" s="179">
        <v>50</v>
      </c>
      <c r="C15" s="166" t="s">
        <v>176</v>
      </c>
      <c r="D15" s="136">
        <v>4.3999999999999997E-2</v>
      </c>
      <c r="E15" s="140">
        <v>5.5E-2</v>
      </c>
      <c r="F15" s="138">
        <v>0.12</v>
      </c>
      <c r="G15" s="138">
        <v>0.13</v>
      </c>
      <c r="H15" s="139">
        <v>0.12</v>
      </c>
      <c r="I15" s="138">
        <v>0.2</v>
      </c>
      <c r="J15" s="138">
        <v>0.21</v>
      </c>
      <c r="K15" s="180">
        <v>0.2</v>
      </c>
      <c r="M15" s="160">
        <v>225</v>
      </c>
      <c r="N15" s="147" t="s">
        <v>179</v>
      </c>
      <c r="O15" s="166"/>
      <c r="P15" s="158">
        <v>2</v>
      </c>
      <c r="Q15" s="158">
        <v>100</v>
      </c>
      <c r="R15" s="158" t="s">
        <v>439</v>
      </c>
      <c r="S15" s="158" t="s">
        <v>436</v>
      </c>
      <c r="T15" s="158">
        <v>30</v>
      </c>
      <c r="U15" s="158" t="s">
        <v>439</v>
      </c>
      <c r="V15" s="158" t="s">
        <v>440</v>
      </c>
      <c r="W15" s="158" t="s">
        <v>446</v>
      </c>
      <c r="X15" s="159" t="s">
        <v>438</v>
      </c>
      <c r="Z15" s="174" t="s">
        <v>179</v>
      </c>
      <c r="AA15" s="196">
        <v>11</v>
      </c>
      <c r="AB15" s="216" t="s">
        <v>543</v>
      </c>
      <c r="AD15" s="200">
        <v>9</v>
      </c>
      <c r="AE15" s="236">
        <v>60</v>
      </c>
      <c r="AG15" s="165"/>
      <c r="AH15" s="160">
        <v>26</v>
      </c>
      <c r="AI15" s="166">
        <v>3</v>
      </c>
      <c r="AJ15" s="166">
        <v>4774</v>
      </c>
      <c r="AK15" s="166">
        <v>4674</v>
      </c>
      <c r="AL15" s="166">
        <v>4577</v>
      </c>
      <c r="AM15" s="166">
        <v>4811</v>
      </c>
      <c r="AN15" s="166">
        <v>4745</v>
      </c>
      <c r="AO15" s="166">
        <v>4679</v>
      </c>
      <c r="AP15" s="166">
        <v>4820</v>
      </c>
      <c r="AQ15" s="166">
        <v>4785</v>
      </c>
      <c r="AR15" s="166">
        <v>4726</v>
      </c>
      <c r="AS15" s="166">
        <v>4833</v>
      </c>
      <c r="AT15" s="166">
        <v>4803</v>
      </c>
      <c r="AU15" s="193">
        <v>4762</v>
      </c>
      <c r="AV15" s="160">
        <v>26</v>
      </c>
      <c r="AW15" s="166">
        <v>3</v>
      </c>
      <c r="AX15" s="166">
        <v>2952</v>
      </c>
      <c r="AY15" s="166">
        <v>2928</v>
      </c>
      <c r="AZ15" s="166">
        <v>2904</v>
      </c>
      <c r="BA15" s="166">
        <v>2961</v>
      </c>
      <c r="BB15" s="166">
        <v>2945</v>
      </c>
      <c r="BC15" s="166">
        <v>2929</v>
      </c>
      <c r="BD15" s="166">
        <v>2963</v>
      </c>
      <c r="BE15" s="166">
        <v>2955</v>
      </c>
      <c r="BF15" s="166">
        <v>2941</v>
      </c>
      <c r="BG15" s="166">
        <v>2966</v>
      </c>
      <c r="BH15" s="166">
        <v>2959</v>
      </c>
      <c r="BI15" s="193">
        <v>2949</v>
      </c>
    </row>
    <row r="16" spans="2:61" ht="14.25" customHeight="1" x14ac:dyDescent="0.3">
      <c r="B16" s="179">
        <v>60</v>
      </c>
      <c r="C16" s="166" t="s">
        <v>176</v>
      </c>
      <c r="D16" s="136">
        <v>4.2999999999999997E-2</v>
      </c>
      <c r="E16" s="140">
        <v>5.3999999999999999E-2</v>
      </c>
      <c r="F16" s="138">
        <v>0.1</v>
      </c>
      <c r="G16" s="138">
        <v>0.1</v>
      </c>
      <c r="H16" s="139">
        <v>0.1</v>
      </c>
      <c r="I16" s="138">
        <v>0.16</v>
      </c>
      <c r="J16" s="138">
        <v>0.16</v>
      </c>
      <c r="K16" s="180">
        <v>0.16</v>
      </c>
      <c r="M16" s="156">
        <v>250</v>
      </c>
      <c r="N16" s="123" t="s">
        <v>181</v>
      </c>
      <c r="O16" s="166"/>
      <c r="P16" s="158">
        <v>2</v>
      </c>
      <c r="Q16" s="158">
        <v>125</v>
      </c>
      <c r="R16" s="158" t="s">
        <v>439</v>
      </c>
      <c r="S16" s="158" t="s">
        <v>436</v>
      </c>
      <c r="T16" s="158">
        <v>30</v>
      </c>
      <c r="U16" s="158" t="s">
        <v>439</v>
      </c>
      <c r="V16" s="158" t="s">
        <v>440</v>
      </c>
      <c r="W16" s="158" t="s">
        <v>446</v>
      </c>
      <c r="X16" s="159" t="s">
        <v>438</v>
      </c>
      <c r="Z16" s="175" t="s">
        <v>181</v>
      </c>
      <c r="AA16" s="196">
        <v>12</v>
      </c>
      <c r="AB16" s="216" t="s">
        <v>543</v>
      </c>
      <c r="AD16" s="200">
        <v>10</v>
      </c>
      <c r="AE16" s="236">
        <v>80</v>
      </c>
      <c r="AG16" s="165"/>
      <c r="AH16" s="160">
        <v>30</v>
      </c>
      <c r="AI16" s="166">
        <v>2</v>
      </c>
      <c r="AJ16" s="166">
        <v>5907</v>
      </c>
      <c r="AK16" s="166">
        <v>5736</v>
      </c>
      <c r="AL16" s="166">
        <v>5574</v>
      </c>
      <c r="AM16" s="166">
        <v>6044</v>
      </c>
      <c r="AN16" s="166">
        <v>5926</v>
      </c>
      <c r="AO16" s="166">
        <v>5809</v>
      </c>
      <c r="AP16" s="166">
        <v>5989</v>
      </c>
      <c r="AQ16" s="166">
        <v>5930</v>
      </c>
      <c r="AR16" s="166">
        <v>5828</v>
      </c>
      <c r="AS16" s="166">
        <v>6087</v>
      </c>
      <c r="AT16" s="166">
        <v>6023</v>
      </c>
      <c r="AU16" s="193">
        <v>5958</v>
      </c>
      <c r="AV16" s="160">
        <v>30</v>
      </c>
      <c r="AW16" s="166">
        <v>2</v>
      </c>
      <c r="AX16" s="166">
        <v>3713</v>
      </c>
      <c r="AY16" s="166">
        <v>3670</v>
      </c>
      <c r="AZ16" s="166">
        <v>3626</v>
      </c>
      <c r="BA16" s="166">
        <v>3730</v>
      </c>
      <c r="BB16" s="166">
        <v>3702</v>
      </c>
      <c r="BC16" s="166">
        <v>3673</v>
      </c>
      <c r="BD16" s="166">
        <v>3734</v>
      </c>
      <c r="BE16" s="166">
        <v>3719</v>
      </c>
      <c r="BF16" s="166">
        <v>3693</v>
      </c>
      <c r="BG16" s="166">
        <v>3740</v>
      </c>
      <c r="BH16" s="166">
        <v>3725</v>
      </c>
      <c r="BI16" s="193">
        <v>3709</v>
      </c>
    </row>
    <row r="17" spans="2:61" ht="14.25" customHeight="1" x14ac:dyDescent="0.3">
      <c r="B17" s="179">
        <v>80</v>
      </c>
      <c r="C17" s="166" t="s">
        <v>176</v>
      </c>
      <c r="D17" s="136">
        <v>4.2000000000000003E-2</v>
      </c>
      <c r="E17" s="140">
        <v>5.1999999999999998E-2</v>
      </c>
      <c r="F17" s="137">
        <v>7.6999999999999999E-2</v>
      </c>
      <c r="G17" s="137">
        <v>8.2000000000000003E-2</v>
      </c>
      <c r="H17" s="136">
        <v>7.9000000000000001E-2</v>
      </c>
      <c r="I17" s="138">
        <v>0.13</v>
      </c>
      <c r="J17" s="138">
        <v>0.13</v>
      </c>
      <c r="K17" s="180">
        <v>0.13</v>
      </c>
      <c r="M17" s="160">
        <v>275</v>
      </c>
      <c r="N17" s="147" t="s">
        <v>183</v>
      </c>
      <c r="O17" s="166"/>
      <c r="P17" s="158">
        <v>2</v>
      </c>
      <c r="Q17" s="158">
        <v>150</v>
      </c>
      <c r="R17" s="158" t="s">
        <v>439</v>
      </c>
      <c r="S17" s="158" t="s">
        <v>436</v>
      </c>
      <c r="T17" s="158">
        <v>30</v>
      </c>
      <c r="U17" s="158" t="s">
        <v>439</v>
      </c>
      <c r="V17" s="158" t="s">
        <v>440</v>
      </c>
      <c r="W17" s="158" t="s">
        <v>447</v>
      </c>
      <c r="X17" s="159" t="s">
        <v>438</v>
      </c>
      <c r="Z17" s="174" t="s">
        <v>183</v>
      </c>
      <c r="AA17" s="196">
        <v>13</v>
      </c>
      <c r="AB17" s="216" t="s">
        <v>543</v>
      </c>
      <c r="AD17" s="200">
        <v>11</v>
      </c>
      <c r="AE17" s="236">
        <v>100</v>
      </c>
      <c r="AG17" s="165"/>
      <c r="AH17" s="160">
        <v>38</v>
      </c>
      <c r="AI17" s="166">
        <v>1</v>
      </c>
      <c r="AJ17" s="166">
        <v>7293</v>
      </c>
      <c r="AK17" s="166">
        <v>7029</v>
      </c>
      <c r="AL17" s="166">
        <v>6759</v>
      </c>
      <c r="AM17" s="166">
        <v>7493</v>
      </c>
      <c r="AN17" s="166">
        <v>7307</v>
      </c>
      <c r="AO17" s="166">
        <v>7109</v>
      </c>
      <c r="AP17" s="166">
        <v>7454</v>
      </c>
      <c r="AQ17" s="166">
        <v>7365</v>
      </c>
      <c r="AR17" s="166">
        <v>7189</v>
      </c>
      <c r="AS17" s="166">
        <v>7579</v>
      </c>
      <c r="AT17" s="166">
        <v>7507</v>
      </c>
      <c r="AU17" s="193">
        <v>7364</v>
      </c>
      <c r="AV17" s="160">
        <v>38</v>
      </c>
      <c r="AW17" s="166">
        <v>1</v>
      </c>
      <c r="AX17" s="166">
        <v>4645</v>
      </c>
      <c r="AY17" s="166">
        <v>4575</v>
      </c>
      <c r="AZ17" s="166">
        <v>4498</v>
      </c>
      <c r="BA17" s="166">
        <v>4678</v>
      </c>
      <c r="BB17" s="166">
        <v>4632</v>
      </c>
      <c r="BC17" s="166">
        <v>4580</v>
      </c>
      <c r="BD17" s="166">
        <v>4686</v>
      </c>
      <c r="BE17" s="166">
        <v>4664</v>
      </c>
      <c r="BF17" s="166">
        <v>4618</v>
      </c>
      <c r="BG17" s="166">
        <v>4699</v>
      </c>
      <c r="BH17" s="166">
        <v>4682</v>
      </c>
      <c r="BI17" s="193">
        <v>4646</v>
      </c>
    </row>
    <row r="18" spans="2:61" ht="14.25" customHeight="1" x14ac:dyDescent="0.3">
      <c r="B18" s="179">
        <v>100</v>
      </c>
      <c r="C18" s="166" t="s">
        <v>176</v>
      </c>
      <c r="D18" s="136">
        <v>4.1000000000000002E-2</v>
      </c>
      <c r="E18" s="140">
        <v>5.0999999999999997E-2</v>
      </c>
      <c r="F18" s="137">
        <v>6.2E-2</v>
      </c>
      <c r="G18" s="137">
        <v>6.7000000000000004E-2</v>
      </c>
      <c r="H18" s="136">
        <v>6.3E-2</v>
      </c>
      <c r="I18" s="138">
        <v>0.1</v>
      </c>
      <c r="J18" s="138">
        <v>0.11</v>
      </c>
      <c r="K18" s="180">
        <v>0.1</v>
      </c>
      <c r="M18" s="156">
        <v>300</v>
      </c>
      <c r="N18" s="123" t="s">
        <v>185</v>
      </c>
      <c r="O18" s="166"/>
      <c r="P18" s="158">
        <v>2</v>
      </c>
      <c r="Q18" s="158">
        <v>200</v>
      </c>
      <c r="R18" s="158" t="s">
        <v>439</v>
      </c>
      <c r="S18" s="158" t="s">
        <v>436</v>
      </c>
      <c r="T18" s="158">
        <v>30</v>
      </c>
      <c r="U18" s="158" t="s">
        <v>439</v>
      </c>
      <c r="V18" s="158" t="s">
        <v>440</v>
      </c>
      <c r="W18" s="158" t="s">
        <v>447</v>
      </c>
      <c r="X18" s="159" t="s">
        <v>438</v>
      </c>
      <c r="Z18" s="175" t="s">
        <v>185</v>
      </c>
      <c r="AA18" s="196">
        <v>15</v>
      </c>
      <c r="AB18" s="216" t="s">
        <v>543</v>
      </c>
      <c r="AD18" s="200">
        <v>12</v>
      </c>
      <c r="AE18" s="236">
        <v>125</v>
      </c>
      <c r="AG18" s="165"/>
      <c r="AH18" s="160">
        <v>50</v>
      </c>
      <c r="AI18" s="166" t="s">
        <v>450</v>
      </c>
      <c r="AJ18" s="166">
        <v>8925</v>
      </c>
      <c r="AK18" s="166">
        <v>8544</v>
      </c>
      <c r="AL18" s="166">
        <v>7973</v>
      </c>
      <c r="AM18" s="166">
        <v>9317</v>
      </c>
      <c r="AN18" s="166">
        <v>9034</v>
      </c>
      <c r="AO18" s="166">
        <v>8590</v>
      </c>
      <c r="AP18" s="166">
        <v>9210</v>
      </c>
      <c r="AQ18" s="166">
        <v>9086</v>
      </c>
      <c r="AR18" s="166">
        <v>8708</v>
      </c>
      <c r="AS18" s="166">
        <v>9473</v>
      </c>
      <c r="AT18" s="166">
        <v>9373</v>
      </c>
      <c r="AU18" s="193">
        <v>9053</v>
      </c>
      <c r="AV18" s="160">
        <v>50</v>
      </c>
      <c r="AW18" s="166" t="s">
        <v>450</v>
      </c>
      <c r="AX18" s="166">
        <v>5777</v>
      </c>
      <c r="AY18" s="166">
        <v>5670</v>
      </c>
      <c r="AZ18" s="166">
        <v>5493</v>
      </c>
      <c r="BA18" s="166">
        <v>5838</v>
      </c>
      <c r="BB18" s="166">
        <v>5766</v>
      </c>
      <c r="BC18" s="166">
        <v>5646</v>
      </c>
      <c r="BD18" s="166">
        <v>5852</v>
      </c>
      <c r="BE18" s="166">
        <v>5820</v>
      </c>
      <c r="BF18" s="166">
        <v>5717</v>
      </c>
      <c r="BG18" s="166">
        <v>5876</v>
      </c>
      <c r="BH18" s="166">
        <v>5852</v>
      </c>
      <c r="BI18" s="193">
        <v>5771</v>
      </c>
    </row>
    <row r="19" spans="2:61" ht="14.25" customHeight="1" thickBot="1" x14ac:dyDescent="0.35">
      <c r="B19" s="179">
        <v>125</v>
      </c>
      <c r="C19" s="166" t="s">
        <v>176</v>
      </c>
      <c r="D19" s="136">
        <v>4.1000000000000002E-2</v>
      </c>
      <c r="E19" s="140">
        <v>5.1999999999999998E-2</v>
      </c>
      <c r="F19" s="137">
        <v>5.1999999999999998E-2</v>
      </c>
      <c r="G19" s="137">
        <v>5.7000000000000002E-2</v>
      </c>
      <c r="H19" s="136">
        <v>5.3999999999999999E-2</v>
      </c>
      <c r="I19" s="137">
        <v>8.5000000000000006E-2</v>
      </c>
      <c r="J19" s="137">
        <v>0.09</v>
      </c>
      <c r="K19" s="181">
        <v>8.5999999999999993E-2</v>
      </c>
      <c r="M19" s="161">
        <v>400</v>
      </c>
      <c r="N19" s="162" t="s">
        <v>187</v>
      </c>
      <c r="O19" s="163"/>
      <c r="P19" s="163">
        <v>2</v>
      </c>
      <c r="Q19" s="163">
        <v>250</v>
      </c>
      <c r="R19" s="163" t="s">
        <v>439</v>
      </c>
      <c r="S19" s="163" t="s">
        <v>436</v>
      </c>
      <c r="T19" s="163">
        <v>50</v>
      </c>
      <c r="U19" s="163" t="s">
        <v>439</v>
      </c>
      <c r="V19" s="163" t="s">
        <v>440</v>
      </c>
      <c r="W19" s="163" t="s">
        <v>448</v>
      </c>
      <c r="X19" s="164" t="s">
        <v>438</v>
      </c>
      <c r="Z19" s="176" t="s">
        <v>187</v>
      </c>
      <c r="AA19" s="197">
        <v>16</v>
      </c>
      <c r="AB19" s="217" t="s">
        <v>543</v>
      </c>
      <c r="AD19" s="200">
        <v>13</v>
      </c>
      <c r="AE19" s="236">
        <v>150</v>
      </c>
      <c r="AG19" s="165"/>
      <c r="AH19" s="160">
        <v>60</v>
      </c>
      <c r="AI19" s="166" t="s">
        <v>451</v>
      </c>
      <c r="AJ19" s="166">
        <v>10755</v>
      </c>
      <c r="AK19" s="166">
        <v>10062</v>
      </c>
      <c r="AL19" s="166">
        <v>9390</v>
      </c>
      <c r="AM19" s="166">
        <v>11424</v>
      </c>
      <c r="AN19" s="166">
        <v>10878</v>
      </c>
      <c r="AO19" s="166">
        <v>10319</v>
      </c>
      <c r="AP19" s="166">
        <v>11245</v>
      </c>
      <c r="AQ19" s="166">
        <v>11045</v>
      </c>
      <c r="AR19" s="166">
        <v>10500</v>
      </c>
      <c r="AS19" s="166">
        <v>11703</v>
      </c>
      <c r="AT19" s="166">
        <v>11529</v>
      </c>
      <c r="AU19" s="193">
        <v>11053</v>
      </c>
      <c r="AV19" s="160">
        <v>60</v>
      </c>
      <c r="AW19" s="166" t="s">
        <v>451</v>
      </c>
      <c r="AX19" s="166">
        <v>7187</v>
      </c>
      <c r="AY19" s="166">
        <v>6968</v>
      </c>
      <c r="AZ19" s="166">
        <v>6733</v>
      </c>
      <c r="BA19" s="166">
        <v>7301</v>
      </c>
      <c r="BB19" s="166">
        <v>7153</v>
      </c>
      <c r="BC19" s="166">
        <v>6986</v>
      </c>
      <c r="BD19" s="166">
        <v>7327</v>
      </c>
      <c r="BE19" s="166">
        <v>7271</v>
      </c>
      <c r="BF19" s="166">
        <v>7109</v>
      </c>
      <c r="BG19" s="166">
        <v>7373</v>
      </c>
      <c r="BH19" s="166">
        <v>7329</v>
      </c>
      <c r="BI19" s="193">
        <v>7202</v>
      </c>
    </row>
    <row r="20" spans="2:61" ht="14.25" customHeight="1" thickBot="1" x14ac:dyDescent="0.35">
      <c r="B20" s="179">
        <v>150</v>
      </c>
      <c r="C20" s="166" t="s">
        <v>176</v>
      </c>
      <c r="D20" s="136">
        <v>4.1000000000000002E-2</v>
      </c>
      <c r="E20" s="140">
        <v>5.0999999999999997E-2</v>
      </c>
      <c r="F20" s="137">
        <v>4.3999999999999997E-2</v>
      </c>
      <c r="G20" s="137">
        <v>4.9000000000000002E-2</v>
      </c>
      <c r="H20" s="136">
        <v>4.4999999999999998E-2</v>
      </c>
      <c r="I20" s="137">
        <v>7.0999999999999994E-2</v>
      </c>
      <c r="J20" s="137">
        <v>7.5999999999999998E-2</v>
      </c>
      <c r="K20" s="181">
        <v>7.1999999999999995E-2</v>
      </c>
      <c r="M20" s="6"/>
      <c r="N20" s="6"/>
      <c r="P20" s="133"/>
      <c r="Q20" s="133"/>
      <c r="R20" s="133"/>
      <c r="S20" s="133"/>
      <c r="T20" s="133"/>
      <c r="U20" s="133"/>
      <c r="V20" s="133"/>
      <c r="W20" s="133"/>
      <c r="X20" s="133"/>
      <c r="Z20" s="175" t="s">
        <v>190</v>
      </c>
      <c r="AA20" s="196">
        <v>1</v>
      </c>
      <c r="AB20" s="215" t="s">
        <v>543</v>
      </c>
      <c r="AD20" s="200">
        <v>14</v>
      </c>
      <c r="AE20" s="236">
        <v>175</v>
      </c>
      <c r="AG20" s="165"/>
      <c r="AH20" s="160">
        <v>80</v>
      </c>
      <c r="AI20" s="166" t="s">
        <v>452</v>
      </c>
      <c r="AJ20" s="166">
        <v>12844</v>
      </c>
      <c r="AK20" s="166">
        <v>11804</v>
      </c>
      <c r="AL20" s="166">
        <v>11022</v>
      </c>
      <c r="AM20" s="166">
        <v>13923</v>
      </c>
      <c r="AN20" s="166">
        <v>13048</v>
      </c>
      <c r="AO20" s="166">
        <v>12360</v>
      </c>
      <c r="AP20" s="166">
        <v>13656</v>
      </c>
      <c r="AQ20" s="166">
        <v>13333</v>
      </c>
      <c r="AR20" s="166">
        <v>12613</v>
      </c>
      <c r="AS20" s="166">
        <v>14410</v>
      </c>
      <c r="AT20" s="166">
        <v>14119</v>
      </c>
      <c r="AU20" s="193">
        <v>13462</v>
      </c>
      <c r="AV20" s="160">
        <v>80</v>
      </c>
      <c r="AW20" s="166" t="s">
        <v>452</v>
      </c>
      <c r="AX20" s="166">
        <v>8826</v>
      </c>
      <c r="AY20" s="166">
        <v>8467</v>
      </c>
      <c r="AZ20" s="166">
        <v>8163</v>
      </c>
      <c r="BA20" s="166">
        <v>9110</v>
      </c>
      <c r="BB20" s="166">
        <v>8851</v>
      </c>
      <c r="BC20" s="166">
        <v>8627</v>
      </c>
      <c r="BD20" s="166">
        <v>9077</v>
      </c>
      <c r="BE20" s="166">
        <v>8981</v>
      </c>
      <c r="BF20" s="166">
        <v>8751</v>
      </c>
      <c r="BG20" s="166">
        <v>9243</v>
      </c>
      <c r="BH20" s="166">
        <v>9164</v>
      </c>
      <c r="BI20" s="193">
        <v>8977</v>
      </c>
    </row>
    <row r="21" spans="2:61" ht="14.25" customHeight="1" x14ac:dyDescent="0.3">
      <c r="B21" s="179">
        <v>175</v>
      </c>
      <c r="C21" s="166" t="s">
        <v>176</v>
      </c>
      <c r="D21" s="136">
        <v>0.04</v>
      </c>
      <c r="E21" s="140">
        <v>0.05</v>
      </c>
      <c r="F21" s="137">
        <v>3.7999999999999999E-2</v>
      </c>
      <c r="G21" s="137">
        <v>4.2999999999999997E-2</v>
      </c>
      <c r="H21" s="136">
        <v>3.9E-2</v>
      </c>
      <c r="I21" s="137">
        <v>6.0999999999999999E-2</v>
      </c>
      <c r="J21" s="137">
        <v>6.6000000000000003E-2</v>
      </c>
      <c r="K21" s="181">
        <v>6.3E-2</v>
      </c>
      <c r="M21" s="167" t="s">
        <v>189</v>
      </c>
      <c r="N21" s="168"/>
      <c r="O21" s="169"/>
      <c r="P21" s="169"/>
      <c r="Q21" s="169"/>
      <c r="R21" s="169"/>
      <c r="S21" s="169"/>
      <c r="T21" s="169"/>
      <c r="U21" s="169"/>
      <c r="V21" s="169"/>
      <c r="W21" s="169"/>
      <c r="X21" s="170"/>
      <c r="Z21" s="174" t="s">
        <v>49</v>
      </c>
      <c r="AA21" s="196">
        <v>2</v>
      </c>
      <c r="AB21" s="216" t="s">
        <v>543</v>
      </c>
      <c r="AD21" s="200">
        <v>15</v>
      </c>
      <c r="AE21" s="236">
        <v>200</v>
      </c>
      <c r="AG21" s="165"/>
      <c r="AH21" s="160">
        <v>100</v>
      </c>
      <c r="AI21" s="166" t="s">
        <v>453</v>
      </c>
      <c r="AJ21" s="166">
        <v>15082</v>
      </c>
      <c r="AK21" s="166">
        <v>13606</v>
      </c>
      <c r="AL21" s="166">
        <v>12543</v>
      </c>
      <c r="AM21" s="166">
        <v>16673</v>
      </c>
      <c r="AN21" s="166">
        <v>15351</v>
      </c>
      <c r="AO21" s="166">
        <v>14347</v>
      </c>
      <c r="AP21" s="166">
        <v>16392</v>
      </c>
      <c r="AQ21" s="166">
        <v>15890</v>
      </c>
      <c r="AR21" s="166">
        <v>14813</v>
      </c>
      <c r="AS21" s="166">
        <v>17483</v>
      </c>
      <c r="AT21" s="166">
        <v>17020</v>
      </c>
      <c r="AU21" s="193">
        <v>16013</v>
      </c>
      <c r="AV21" s="160">
        <v>100</v>
      </c>
      <c r="AW21" s="166" t="s">
        <v>453</v>
      </c>
      <c r="AX21" s="166">
        <v>10741</v>
      </c>
      <c r="AY21" s="166">
        <v>10167</v>
      </c>
      <c r="AZ21" s="166">
        <v>9700</v>
      </c>
      <c r="BA21" s="166">
        <v>11174</v>
      </c>
      <c r="BB21" s="166">
        <v>10749</v>
      </c>
      <c r="BC21" s="166">
        <v>10387</v>
      </c>
      <c r="BD21" s="166">
        <v>11185</v>
      </c>
      <c r="BE21" s="166">
        <v>11022</v>
      </c>
      <c r="BF21" s="166">
        <v>10642</v>
      </c>
      <c r="BG21" s="166">
        <v>11409</v>
      </c>
      <c r="BH21" s="166">
        <v>11277</v>
      </c>
      <c r="BI21" s="193">
        <v>10969</v>
      </c>
    </row>
    <row r="22" spans="2:61" ht="14.25" customHeight="1" x14ac:dyDescent="0.3">
      <c r="B22" s="179">
        <v>200</v>
      </c>
      <c r="C22" s="166" t="s">
        <v>176</v>
      </c>
      <c r="D22" s="136">
        <v>0.04</v>
      </c>
      <c r="E22" s="140">
        <v>4.9000000000000002E-2</v>
      </c>
      <c r="F22" s="137">
        <v>3.3000000000000002E-2</v>
      </c>
      <c r="G22" s="137">
        <v>3.7999999999999999E-2</v>
      </c>
      <c r="H22" s="136">
        <v>3.5000000000000003E-2</v>
      </c>
      <c r="I22" s="137">
        <v>5.3999999999999999E-2</v>
      </c>
      <c r="J22" s="137">
        <v>5.8999999999999997E-2</v>
      </c>
      <c r="K22" s="181">
        <v>5.5E-2</v>
      </c>
      <c r="M22" s="156">
        <v>20</v>
      </c>
      <c r="N22" s="123" t="s">
        <v>190</v>
      </c>
      <c r="O22" s="166"/>
      <c r="P22" s="158">
        <v>3</v>
      </c>
      <c r="Q22" s="158">
        <v>2</v>
      </c>
      <c r="R22" s="158" t="s">
        <v>435</v>
      </c>
      <c r="S22" s="158" t="s">
        <v>436</v>
      </c>
      <c r="T22" s="158">
        <v>2</v>
      </c>
      <c r="U22" s="158" t="s">
        <v>435</v>
      </c>
      <c r="V22" s="158" t="s">
        <v>440</v>
      </c>
      <c r="W22" s="158" t="s">
        <v>437</v>
      </c>
      <c r="X22" s="159" t="s">
        <v>438</v>
      </c>
      <c r="Z22" s="175" t="s">
        <v>51</v>
      </c>
      <c r="AA22" s="196">
        <v>3</v>
      </c>
      <c r="AB22" s="216" t="s">
        <v>543</v>
      </c>
      <c r="AD22" s="200">
        <v>16</v>
      </c>
      <c r="AE22" s="236">
        <v>250</v>
      </c>
      <c r="AG22" s="165"/>
      <c r="AH22" s="160">
        <v>125</v>
      </c>
      <c r="AI22" s="166">
        <v>250</v>
      </c>
      <c r="AJ22" s="166">
        <v>16483</v>
      </c>
      <c r="AK22" s="166">
        <v>14925</v>
      </c>
      <c r="AL22" s="166">
        <v>13644</v>
      </c>
      <c r="AM22" s="166">
        <v>18594</v>
      </c>
      <c r="AN22" s="166">
        <v>17121</v>
      </c>
      <c r="AO22" s="166">
        <v>15866</v>
      </c>
      <c r="AP22" s="166">
        <v>18311</v>
      </c>
      <c r="AQ22" s="166">
        <v>17851</v>
      </c>
      <c r="AR22" s="166">
        <v>16466</v>
      </c>
      <c r="AS22" s="166">
        <v>19779</v>
      </c>
      <c r="AT22" s="166">
        <v>19352</v>
      </c>
      <c r="AU22" s="193">
        <v>18001</v>
      </c>
      <c r="AV22" s="160">
        <v>125</v>
      </c>
      <c r="AW22" s="166">
        <v>250</v>
      </c>
      <c r="AX22" s="166">
        <v>12122</v>
      </c>
      <c r="AY22" s="166">
        <v>11460</v>
      </c>
      <c r="AZ22" s="166">
        <v>10849</v>
      </c>
      <c r="BA22" s="166">
        <v>12862</v>
      </c>
      <c r="BB22" s="166">
        <v>12343</v>
      </c>
      <c r="BC22" s="166">
        <v>11847</v>
      </c>
      <c r="BD22" s="166">
        <v>12797</v>
      </c>
      <c r="BE22" s="166">
        <v>12636</v>
      </c>
      <c r="BF22" s="166">
        <v>12115</v>
      </c>
      <c r="BG22" s="166">
        <v>13236</v>
      </c>
      <c r="BH22" s="166">
        <v>13106</v>
      </c>
      <c r="BI22" s="193">
        <v>12661</v>
      </c>
    </row>
    <row r="23" spans="2:61" ht="14.25" customHeight="1" x14ac:dyDescent="0.3">
      <c r="B23" s="179">
        <v>250</v>
      </c>
      <c r="C23" s="166" t="s">
        <v>176</v>
      </c>
      <c r="D23" s="136">
        <v>3.9E-2</v>
      </c>
      <c r="E23" s="140">
        <v>4.8000000000000001E-2</v>
      </c>
      <c r="F23" s="137">
        <v>2.7E-2</v>
      </c>
      <c r="G23" s="137">
        <v>3.2000000000000001E-2</v>
      </c>
      <c r="H23" s="136">
        <v>2.9000000000000001E-2</v>
      </c>
      <c r="I23" s="137">
        <v>4.2999999999999997E-2</v>
      </c>
      <c r="J23" s="137">
        <v>4.8000000000000001E-2</v>
      </c>
      <c r="K23" s="181">
        <v>4.4999999999999998E-2</v>
      </c>
      <c r="M23" s="160">
        <v>30</v>
      </c>
      <c r="N23" s="147" t="s">
        <v>49</v>
      </c>
      <c r="O23" s="166"/>
      <c r="P23" s="158">
        <v>3</v>
      </c>
      <c r="Q23" s="158">
        <v>5.5</v>
      </c>
      <c r="R23" s="158" t="s">
        <v>439</v>
      </c>
      <c r="S23" s="158" t="s">
        <v>436</v>
      </c>
      <c r="T23" s="158">
        <v>2</v>
      </c>
      <c r="U23" s="158" t="s">
        <v>435</v>
      </c>
      <c r="V23" s="158" t="s">
        <v>440</v>
      </c>
      <c r="W23" s="158" t="s">
        <v>441</v>
      </c>
      <c r="X23" s="159" t="s">
        <v>438</v>
      </c>
      <c r="Z23" s="174" t="s">
        <v>194</v>
      </c>
      <c r="AA23" s="196">
        <v>4</v>
      </c>
      <c r="AB23" s="216" t="s">
        <v>543</v>
      </c>
      <c r="AD23" s="200">
        <v>17</v>
      </c>
      <c r="AE23" s="236">
        <v>325</v>
      </c>
      <c r="AG23" s="165"/>
      <c r="AH23" s="160">
        <v>150</v>
      </c>
      <c r="AI23" s="166">
        <v>300</v>
      </c>
      <c r="AJ23" s="166">
        <v>18177</v>
      </c>
      <c r="AK23" s="166">
        <v>16293</v>
      </c>
      <c r="AL23" s="166">
        <v>14769</v>
      </c>
      <c r="AM23" s="166">
        <v>20868</v>
      </c>
      <c r="AN23" s="166">
        <v>18975</v>
      </c>
      <c r="AO23" s="166">
        <v>17409</v>
      </c>
      <c r="AP23" s="166">
        <v>20617</v>
      </c>
      <c r="AQ23" s="166">
        <v>20052</v>
      </c>
      <c r="AR23" s="166">
        <v>18319</v>
      </c>
      <c r="AS23" s="166">
        <v>22525</v>
      </c>
      <c r="AT23" s="166">
        <v>21938</v>
      </c>
      <c r="AU23" s="193">
        <v>20163</v>
      </c>
      <c r="AV23" s="160">
        <v>150</v>
      </c>
      <c r="AW23" s="166">
        <v>300</v>
      </c>
      <c r="AX23" s="166">
        <v>13910</v>
      </c>
      <c r="AY23" s="166">
        <v>13009</v>
      </c>
      <c r="AZ23" s="166">
        <v>12193</v>
      </c>
      <c r="BA23" s="166">
        <v>14923</v>
      </c>
      <c r="BB23" s="166">
        <v>14183</v>
      </c>
      <c r="BC23" s="166">
        <v>13492</v>
      </c>
      <c r="BD23" s="166">
        <v>14917</v>
      </c>
      <c r="BE23" s="166">
        <v>14698</v>
      </c>
      <c r="BF23" s="166">
        <v>13973</v>
      </c>
      <c r="BG23" s="166">
        <v>15495</v>
      </c>
      <c r="BH23" s="166">
        <v>15300</v>
      </c>
      <c r="BI23" s="193">
        <v>14659</v>
      </c>
    </row>
    <row r="24" spans="2:61" ht="14.25" customHeight="1" x14ac:dyDescent="0.3">
      <c r="B24" s="179">
        <v>325</v>
      </c>
      <c r="C24" s="166" t="s">
        <v>176</v>
      </c>
      <c r="D24" s="136">
        <v>3.9E-2</v>
      </c>
      <c r="E24" s="140">
        <v>4.8000000000000001E-2</v>
      </c>
      <c r="F24" s="137">
        <v>2.3E-2</v>
      </c>
      <c r="G24" s="137">
        <v>2.8000000000000001E-2</v>
      </c>
      <c r="H24" s="136">
        <v>2.5000000000000001E-2</v>
      </c>
      <c r="I24" s="137">
        <v>3.5999999999999997E-2</v>
      </c>
      <c r="J24" s="137">
        <v>4.1000000000000002E-2</v>
      </c>
      <c r="K24" s="181">
        <v>3.7999999999999999E-2</v>
      </c>
      <c r="M24" s="156">
        <v>40</v>
      </c>
      <c r="N24" s="123" t="s">
        <v>51</v>
      </c>
      <c r="O24" s="166"/>
      <c r="P24" s="158">
        <v>3</v>
      </c>
      <c r="Q24" s="158">
        <v>8</v>
      </c>
      <c r="R24" s="158" t="s">
        <v>439</v>
      </c>
      <c r="S24" s="158" t="s">
        <v>436</v>
      </c>
      <c r="T24" s="158">
        <v>5.5</v>
      </c>
      <c r="U24" s="158" t="s">
        <v>439</v>
      </c>
      <c r="V24" s="158" t="s">
        <v>440</v>
      </c>
      <c r="W24" s="158" t="s">
        <v>443</v>
      </c>
      <c r="X24" s="159" t="s">
        <v>438</v>
      </c>
      <c r="Z24" s="175" t="s">
        <v>196</v>
      </c>
      <c r="AA24" s="196">
        <v>5</v>
      </c>
      <c r="AB24" s="216" t="s">
        <v>543</v>
      </c>
      <c r="AD24" s="200">
        <v>18</v>
      </c>
      <c r="AE24" s="236">
        <v>375</v>
      </c>
      <c r="AG24" s="165"/>
      <c r="AH24" s="160">
        <v>175</v>
      </c>
      <c r="AI24" s="166">
        <v>350</v>
      </c>
      <c r="AJ24" s="166">
        <v>19704</v>
      </c>
      <c r="AK24" s="166">
        <v>17385</v>
      </c>
      <c r="AL24" s="166">
        <v>15678</v>
      </c>
      <c r="AM24" s="166">
        <v>22737</v>
      </c>
      <c r="AN24" s="166">
        <v>20526</v>
      </c>
      <c r="AO24" s="166">
        <v>18672</v>
      </c>
      <c r="AP24" s="166">
        <v>22646</v>
      </c>
      <c r="AQ24" s="166">
        <v>21914</v>
      </c>
      <c r="AR24" s="166">
        <v>19821</v>
      </c>
      <c r="AS24" s="166">
        <v>24904</v>
      </c>
      <c r="AT24" s="166">
        <v>24126</v>
      </c>
      <c r="AU24" s="193">
        <v>21982</v>
      </c>
      <c r="AV24" s="160">
        <v>175</v>
      </c>
      <c r="AW24" s="166">
        <v>350</v>
      </c>
      <c r="AX24" s="166">
        <v>15484</v>
      </c>
      <c r="AY24" s="166">
        <v>14280</v>
      </c>
      <c r="AZ24" s="166">
        <v>13288</v>
      </c>
      <c r="BA24" s="166">
        <v>16813</v>
      </c>
      <c r="BB24" s="166">
        <v>15858</v>
      </c>
      <c r="BC24" s="166">
        <v>14955</v>
      </c>
      <c r="BD24" s="166">
        <v>16795</v>
      </c>
      <c r="BE24" s="166">
        <v>16490</v>
      </c>
      <c r="BF24" s="166">
        <v>15541</v>
      </c>
      <c r="BG24" s="166">
        <v>17635</v>
      </c>
      <c r="BH24" s="166">
        <v>17352</v>
      </c>
      <c r="BI24" s="193">
        <v>16501</v>
      </c>
    </row>
    <row r="25" spans="2:61" ht="14.25" customHeight="1" x14ac:dyDescent="0.3">
      <c r="B25" s="179">
        <v>375</v>
      </c>
      <c r="C25" s="166" t="s">
        <v>176</v>
      </c>
      <c r="D25" s="136">
        <v>3.7999999999999999E-2</v>
      </c>
      <c r="E25" s="140">
        <v>4.8000000000000001E-2</v>
      </c>
      <c r="F25" s="137">
        <v>1.9E-2</v>
      </c>
      <c r="G25" s="137">
        <v>2.4E-2</v>
      </c>
      <c r="H25" s="136">
        <v>2.1000000000000001E-2</v>
      </c>
      <c r="I25" s="137">
        <v>2.9000000000000001E-2</v>
      </c>
      <c r="J25" s="137">
        <v>3.4000000000000002E-2</v>
      </c>
      <c r="K25" s="181">
        <v>3.1E-2</v>
      </c>
      <c r="M25" s="160" t="s">
        <v>165</v>
      </c>
      <c r="N25" s="147" t="s">
        <v>194</v>
      </c>
      <c r="O25" s="166"/>
      <c r="P25" s="158">
        <v>3</v>
      </c>
      <c r="Q25" s="158">
        <v>14</v>
      </c>
      <c r="R25" s="158" t="s">
        <v>439</v>
      </c>
      <c r="S25" s="158" t="s">
        <v>436</v>
      </c>
      <c r="T25" s="158">
        <v>8</v>
      </c>
      <c r="U25" s="158" t="s">
        <v>439</v>
      </c>
      <c r="V25" s="158" t="s">
        <v>440</v>
      </c>
      <c r="W25" s="158" t="s">
        <v>443</v>
      </c>
      <c r="X25" s="159" t="s">
        <v>438</v>
      </c>
      <c r="Z25" s="174" t="s">
        <v>198</v>
      </c>
      <c r="AA25" s="196">
        <v>6</v>
      </c>
      <c r="AB25" s="216" t="s">
        <v>543</v>
      </c>
      <c r="AD25" s="200">
        <v>19</v>
      </c>
      <c r="AE25" s="236">
        <v>400</v>
      </c>
      <c r="AG25" s="165"/>
      <c r="AH25" s="160">
        <v>200</v>
      </c>
      <c r="AI25" s="166">
        <v>400</v>
      </c>
      <c r="AJ25" s="166">
        <v>20566</v>
      </c>
      <c r="AK25" s="166">
        <v>18235</v>
      </c>
      <c r="AL25" s="166">
        <v>16366</v>
      </c>
      <c r="AM25" s="166">
        <v>24297</v>
      </c>
      <c r="AN25" s="166">
        <v>21786</v>
      </c>
      <c r="AO25" s="166">
        <v>19731</v>
      </c>
      <c r="AP25" s="166">
        <v>24253</v>
      </c>
      <c r="AQ25" s="166">
        <v>23372</v>
      </c>
      <c r="AR25" s="166">
        <v>21042</v>
      </c>
      <c r="AS25" s="166">
        <v>26916</v>
      </c>
      <c r="AT25" s="166">
        <v>26044</v>
      </c>
      <c r="AU25" s="193">
        <v>23518</v>
      </c>
      <c r="AV25" s="160">
        <v>200</v>
      </c>
      <c r="AW25" s="166">
        <v>400</v>
      </c>
      <c r="AX25" s="166">
        <v>16671</v>
      </c>
      <c r="AY25" s="166">
        <v>15355</v>
      </c>
      <c r="AZ25" s="166">
        <v>14188</v>
      </c>
      <c r="BA25" s="166">
        <v>18506</v>
      </c>
      <c r="BB25" s="166">
        <v>17321</v>
      </c>
      <c r="BC25" s="166">
        <v>16234</v>
      </c>
      <c r="BD25" s="166">
        <v>18462</v>
      </c>
      <c r="BE25" s="166">
        <v>18064</v>
      </c>
      <c r="BF25" s="166">
        <v>16921</v>
      </c>
      <c r="BG25" s="166">
        <v>19588</v>
      </c>
      <c r="BH25" s="166">
        <v>19244</v>
      </c>
      <c r="BI25" s="193">
        <v>18154</v>
      </c>
    </row>
    <row r="26" spans="2:61" ht="14.25" customHeight="1" thickBot="1" x14ac:dyDescent="0.35">
      <c r="B26" s="179">
        <v>400</v>
      </c>
      <c r="C26" s="166" t="s">
        <v>176</v>
      </c>
      <c r="D26" s="136">
        <v>3.7999999999999999E-2</v>
      </c>
      <c r="E26" s="140">
        <v>4.8000000000000001E-2</v>
      </c>
      <c r="F26" s="137">
        <v>1.9E-2</v>
      </c>
      <c r="G26" s="137">
        <v>2.4E-2</v>
      </c>
      <c r="H26" s="136">
        <v>2.1000000000000001E-2</v>
      </c>
      <c r="I26" s="137">
        <v>2.9000000000000001E-2</v>
      </c>
      <c r="J26" s="137">
        <v>3.4000000000000002E-2</v>
      </c>
      <c r="K26" s="181">
        <v>3.1E-2</v>
      </c>
      <c r="M26" s="156" t="s">
        <v>168</v>
      </c>
      <c r="N26" s="123" t="s">
        <v>196</v>
      </c>
      <c r="O26" s="166"/>
      <c r="P26" s="158">
        <v>3</v>
      </c>
      <c r="Q26" s="158">
        <v>22</v>
      </c>
      <c r="R26" s="158" t="s">
        <v>439</v>
      </c>
      <c r="S26" s="158" t="s">
        <v>436</v>
      </c>
      <c r="T26" s="158">
        <v>8</v>
      </c>
      <c r="U26" s="158" t="s">
        <v>439</v>
      </c>
      <c r="V26" s="158" t="s">
        <v>440</v>
      </c>
      <c r="W26" s="158" t="s">
        <v>444</v>
      </c>
      <c r="X26" s="159" t="s">
        <v>438</v>
      </c>
      <c r="Z26" s="175" t="s">
        <v>200</v>
      </c>
      <c r="AA26" s="196">
        <v>8</v>
      </c>
      <c r="AB26" s="216" t="s">
        <v>543</v>
      </c>
      <c r="AD26" s="201">
        <v>20</v>
      </c>
      <c r="AE26" s="237">
        <v>500</v>
      </c>
      <c r="AG26" s="165"/>
      <c r="AH26" s="160">
        <v>250</v>
      </c>
      <c r="AI26" s="166">
        <v>500</v>
      </c>
      <c r="AJ26" s="166">
        <v>22185</v>
      </c>
      <c r="AK26" s="166">
        <v>19172</v>
      </c>
      <c r="AL26" s="166">
        <v>17492</v>
      </c>
      <c r="AM26" s="166">
        <v>26706</v>
      </c>
      <c r="AN26" s="166">
        <v>23277</v>
      </c>
      <c r="AO26" s="166">
        <v>21330</v>
      </c>
      <c r="AP26" s="166">
        <v>26980</v>
      </c>
      <c r="AQ26" s="166">
        <v>25449</v>
      </c>
      <c r="AR26" s="166">
        <v>23126</v>
      </c>
      <c r="AS26" s="166">
        <v>30096</v>
      </c>
      <c r="AT26" s="166">
        <v>28712</v>
      </c>
      <c r="AU26" s="193">
        <v>25916</v>
      </c>
      <c r="AV26" s="160">
        <v>250</v>
      </c>
      <c r="AW26" s="166">
        <v>500</v>
      </c>
      <c r="AX26" s="166">
        <v>18756</v>
      </c>
      <c r="AY26" s="166">
        <v>16828</v>
      </c>
      <c r="AZ26" s="166">
        <v>15657</v>
      </c>
      <c r="BA26" s="166">
        <v>21391</v>
      </c>
      <c r="BB26" s="166">
        <v>19503</v>
      </c>
      <c r="BC26" s="166">
        <v>18315</v>
      </c>
      <c r="BD26" s="166">
        <v>21395</v>
      </c>
      <c r="BE26" s="166">
        <v>20607</v>
      </c>
      <c r="BF26" s="166">
        <v>19314</v>
      </c>
      <c r="BG26" s="166">
        <v>23018</v>
      </c>
      <c r="BH26" s="166">
        <v>22381</v>
      </c>
      <c r="BI26" s="193">
        <v>20978</v>
      </c>
    </row>
    <row r="27" spans="2:61" ht="14.25" customHeight="1" thickBot="1" x14ac:dyDescent="0.35">
      <c r="B27" s="182">
        <v>500</v>
      </c>
      <c r="C27" s="191" t="s">
        <v>176</v>
      </c>
      <c r="D27" s="183">
        <v>3.6999999999999998E-2</v>
      </c>
      <c r="E27" s="184">
        <v>4.5999999999999999E-2</v>
      </c>
      <c r="F27" s="185">
        <v>1.4999999999999999E-2</v>
      </c>
      <c r="G27" s="185">
        <v>1.9E-2</v>
      </c>
      <c r="H27" s="183">
        <v>1.7999999999999999E-2</v>
      </c>
      <c r="I27" s="185">
        <v>2.3E-2</v>
      </c>
      <c r="J27" s="185">
        <v>2.7E-2</v>
      </c>
      <c r="K27" s="186">
        <v>2.5000000000000001E-2</v>
      </c>
      <c r="M27" s="160">
        <v>100</v>
      </c>
      <c r="N27" s="147" t="s">
        <v>198</v>
      </c>
      <c r="O27" s="166"/>
      <c r="P27" s="158">
        <v>3</v>
      </c>
      <c r="Q27" s="158">
        <v>30</v>
      </c>
      <c r="R27" s="158" t="s">
        <v>439</v>
      </c>
      <c r="S27" s="158" t="s">
        <v>436</v>
      </c>
      <c r="T27" s="158">
        <v>8</v>
      </c>
      <c r="U27" s="158" t="s">
        <v>439</v>
      </c>
      <c r="V27" s="158" t="s">
        <v>440</v>
      </c>
      <c r="W27" s="158" t="s">
        <v>444</v>
      </c>
      <c r="X27" s="159" t="s">
        <v>438</v>
      </c>
      <c r="Z27" s="174" t="s">
        <v>202</v>
      </c>
      <c r="AA27" s="196">
        <v>9</v>
      </c>
      <c r="AB27" s="216" t="s">
        <v>543</v>
      </c>
      <c r="AD27" s="292">
        <v>31</v>
      </c>
      <c r="AE27" s="155">
        <v>225</v>
      </c>
      <c r="AH27" s="160">
        <v>300</v>
      </c>
      <c r="AI27" s="166">
        <v>600</v>
      </c>
      <c r="AJ27" s="166">
        <v>22965</v>
      </c>
      <c r="AK27" s="166">
        <v>20567</v>
      </c>
      <c r="AL27" s="166">
        <v>17962</v>
      </c>
      <c r="AM27" s="166">
        <v>28033</v>
      </c>
      <c r="AN27" s="166">
        <v>25204</v>
      </c>
      <c r="AO27" s="166">
        <v>22097</v>
      </c>
      <c r="AP27" s="166">
        <v>28752</v>
      </c>
      <c r="AQ27" s="166">
        <v>27975</v>
      </c>
      <c r="AR27" s="166">
        <v>24897</v>
      </c>
      <c r="AS27" s="166">
        <v>32154</v>
      </c>
      <c r="AT27" s="166">
        <v>31258</v>
      </c>
      <c r="AU27" s="193">
        <v>27766</v>
      </c>
      <c r="AV27" s="160">
        <v>300</v>
      </c>
      <c r="AW27" s="166">
        <v>600</v>
      </c>
      <c r="AX27" s="166">
        <v>20093</v>
      </c>
      <c r="AY27" s="166">
        <v>18428</v>
      </c>
      <c r="AZ27" s="166">
        <v>16484</v>
      </c>
      <c r="BA27" s="166">
        <v>23451</v>
      </c>
      <c r="BB27" s="166">
        <v>21718</v>
      </c>
      <c r="BC27" s="166">
        <v>19635</v>
      </c>
      <c r="BD27" s="166">
        <v>23633</v>
      </c>
      <c r="BE27" s="166">
        <v>23196</v>
      </c>
      <c r="BF27" s="166">
        <v>21349</v>
      </c>
      <c r="BG27" s="166">
        <v>25708</v>
      </c>
      <c r="BH27" s="166">
        <v>25244</v>
      </c>
      <c r="BI27" s="193">
        <v>23295</v>
      </c>
    </row>
    <row r="28" spans="2:61" ht="14.25" customHeight="1" x14ac:dyDescent="0.3">
      <c r="B28" s="6"/>
      <c r="C28" s="6"/>
      <c r="D28" s="6"/>
      <c r="E28" s="6"/>
      <c r="F28" s="6"/>
      <c r="G28" s="6"/>
      <c r="H28" s="6"/>
      <c r="I28" s="6"/>
      <c r="J28" s="6"/>
      <c r="M28" s="156">
        <v>125</v>
      </c>
      <c r="N28" s="123" t="s">
        <v>200</v>
      </c>
      <c r="O28" s="166"/>
      <c r="P28" s="158">
        <v>3</v>
      </c>
      <c r="Q28" s="158">
        <v>50</v>
      </c>
      <c r="R28" s="158" t="s">
        <v>439</v>
      </c>
      <c r="S28" s="158" t="s">
        <v>436</v>
      </c>
      <c r="T28" s="158">
        <v>14</v>
      </c>
      <c r="U28" s="158" t="s">
        <v>439</v>
      </c>
      <c r="V28" s="158" t="s">
        <v>440</v>
      </c>
      <c r="W28" s="158" t="s">
        <v>445</v>
      </c>
      <c r="X28" s="159" t="s">
        <v>438</v>
      </c>
      <c r="Z28" s="175" t="s">
        <v>203</v>
      </c>
      <c r="AA28" s="196">
        <v>10</v>
      </c>
      <c r="AB28" s="216" t="s">
        <v>543</v>
      </c>
      <c r="AD28" s="200">
        <v>32</v>
      </c>
      <c r="AE28" s="159">
        <v>400</v>
      </c>
      <c r="AH28" s="160">
        <v>375</v>
      </c>
      <c r="AI28" s="166">
        <v>750</v>
      </c>
      <c r="AJ28" s="166">
        <v>24137</v>
      </c>
      <c r="AK28" s="166">
        <v>21387</v>
      </c>
      <c r="AL28" s="166">
        <v>18889</v>
      </c>
      <c r="AM28" s="166">
        <v>29735</v>
      </c>
      <c r="AN28" s="166">
        <v>26453</v>
      </c>
      <c r="AO28" s="166">
        <v>23408</v>
      </c>
      <c r="AP28" s="166">
        <v>31051</v>
      </c>
      <c r="AQ28" s="166">
        <v>30024</v>
      </c>
      <c r="AR28" s="166">
        <v>26933</v>
      </c>
      <c r="AS28" s="166">
        <v>34605</v>
      </c>
      <c r="AT28" s="166">
        <v>33315</v>
      </c>
      <c r="AU28" s="193">
        <v>29735</v>
      </c>
      <c r="AV28" s="160">
        <v>375</v>
      </c>
      <c r="AW28" s="166">
        <v>750</v>
      </c>
      <c r="AX28" s="166">
        <v>21766</v>
      </c>
      <c r="AY28" s="166">
        <v>19685</v>
      </c>
      <c r="AZ28" s="166">
        <v>17686</v>
      </c>
      <c r="BA28" s="166">
        <v>25976</v>
      </c>
      <c r="BB28" s="166">
        <v>23702</v>
      </c>
      <c r="BC28" s="166">
        <v>21437</v>
      </c>
      <c r="BD28" s="166">
        <v>26432</v>
      </c>
      <c r="BE28" s="166">
        <v>25790</v>
      </c>
      <c r="BF28" s="166">
        <v>23750</v>
      </c>
      <c r="BG28" s="166">
        <v>29036</v>
      </c>
      <c r="BH28" s="166">
        <v>28262</v>
      </c>
      <c r="BI28" s="193">
        <v>25976</v>
      </c>
    </row>
    <row r="29" spans="2:61" ht="14.25" customHeight="1" thickBot="1" x14ac:dyDescent="0.35">
      <c r="B29" s="6"/>
      <c r="C29" s="6"/>
      <c r="D29" s="6"/>
      <c r="E29" s="6"/>
      <c r="F29" s="6"/>
      <c r="G29" s="6"/>
      <c r="H29" s="6"/>
      <c r="I29" s="6"/>
      <c r="J29" s="6"/>
      <c r="M29" s="160">
        <v>150</v>
      </c>
      <c r="N29" s="147" t="s">
        <v>202</v>
      </c>
      <c r="O29" s="166"/>
      <c r="P29" s="158">
        <v>3</v>
      </c>
      <c r="Q29" s="158">
        <v>60</v>
      </c>
      <c r="R29" s="158" t="s">
        <v>439</v>
      </c>
      <c r="S29" s="158" t="s">
        <v>436</v>
      </c>
      <c r="T29" s="158">
        <v>14</v>
      </c>
      <c r="U29" s="158" t="s">
        <v>439</v>
      </c>
      <c r="V29" s="158" t="s">
        <v>440</v>
      </c>
      <c r="W29" s="158" t="s">
        <v>445</v>
      </c>
      <c r="X29" s="159" t="s">
        <v>438</v>
      </c>
      <c r="Z29" s="174" t="s">
        <v>205</v>
      </c>
      <c r="AA29" s="196">
        <v>11</v>
      </c>
      <c r="AB29" s="216" t="s">
        <v>543</v>
      </c>
      <c r="AD29" s="200">
        <v>33</v>
      </c>
      <c r="AE29" s="159">
        <v>600</v>
      </c>
      <c r="AH29" s="161">
        <v>500</v>
      </c>
      <c r="AI29" s="320">
        <v>1000</v>
      </c>
      <c r="AJ29" s="191">
        <v>25278</v>
      </c>
      <c r="AK29" s="191">
        <v>22539</v>
      </c>
      <c r="AL29" s="191">
        <v>19923</v>
      </c>
      <c r="AM29" s="191">
        <v>31491</v>
      </c>
      <c r="AN29" s="191">
        <v>28083</v>
      </c>
      <c r="AO29" s="191">
        <v>24887</v>
      </c>
      <c r="AP29" s="191">
        <v>33864</v>
      </c>
      <c r="AQ29" s="191">
        <v>32689</v>
      </c>
      <c r="AR29" s="191">
        <v>29320</v>
      </c>
      <c r="AS29" s="191">
        <v>37197</v>
      </c>
      <c r="AT29" s="191">
        <v>35749</v>
      </c>
      <c r="AU29" s="194">
        <v>31959</v>
      </c>
      <c r="AV29" s="161">
        <v>500</v>
      </c>
      <c r="AW29" s="233">
        <v>1000</v>
      </c>
      <c r="AX29" s="191">
        <v>23478</v>
      </c>
      <c r="AY29" s="191">
        <v>21235</v>
      </c>
      <c r="AZ29" s="191">
        <v>19006</v>
      </c>
      <c r="BA29" s="191">
        <v>28779</v>
      </c>
      <c r="BB29" s="191">
        <v>26109</v>
      </c>
      <c r="BC29" s="191">
        <v>23482</v>
      </c>
      <c r="BD29" s="191">
        <v>29865</v>
      </c>
      <c r="BE29" s="191">
        <v>29049</v>
      </c>
      <c r="BF29" s="191">
        <v>26608</v>
      </c>
      <c r="BG29" s="191">
        <v>32938</v>
      </c>
      <c r="BH29" s="191">
        <v>31920</v>
      </c>
      <c r="BI29" s="194">
        <v>29135</v>
      </c>
    </row>
    <row r="30" spans="2:61" ht="14.25" customHeight="1" x14ac:dyDescent="0.3">
      <c r="B30" s="6"/>
      <c r="C30" s="6"/>
      <c r="D30" s="6"/>
      <c r="E30" s="6"/>
      <c r="F30" s="6"/>
      <c r="G30" s="6"/>
      <c r="H30" s="6"/>
      <c r="I30" s="6"/>
      <c r="J30" s="6"/>
      <c r="M30" s="156">
        <v>200</v>
      </c>
      <c r="N30" s="123" t="s">
        <v>203</v>
      </c>
      <c r="O30" s="166"/>
      <c r="P30" s="158">
        <v>3</v>
      </c>
      <c r="Q30" s="158">
        <v>80</v>
      </c>
      <c r="R30" s="158" t="s">
        <v>439</v>
      </c>
      <c r="S30" s="158" t="s">
        <v>436</v>
      </c>
      <c r="T30" s="158">
        <v>22</v>
      </c>
      <c r="U30" s="158" t="s">
        <v>439</v>
      </c>
      <c r="V30" s="158" t="s">
        <v>440</v>
      </c>
      <c r="W30" s="158" t="s">
        <v>445</v>
      </c>
      <c r="X30" s="159" t="s">
        <v>438</v>
      </c>
      <c r="Z30" s="175" t="s">
        <v>207</v>
      </c>
      <c r="AA30" s="196">
        <v>12</v>
      </c>
      <c r="AB30" s="216" t="s">
        <v>543</v>
      </c>
      <c r="AD30" s="200">
        <v>34</v>
      </c>
      <c r="AE30" s="159">
        <v>800</v>
      </c>
      <c r="AG30" s="157"/>
      <c r="AH30" s="147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57"/>
    </row>
    <row r="31" spans="2:61" ht="14.25" customHeight="1" thickBot="1" x14ac:dyDescent="0.35">
      <c r="B31" s="6"/>
      <c r="C31" s="6"/>
      <c r="D31" s="6"/>
      <c r="E31" s="6"/>
      <c r="F31" s="6"/>
      <c r="G31" s="6"/>
      <c r="H31" s="6"/>
      <c r="I31" s="6"/>
      <c r="J31" s="6"/>
      <c r="M31" s="160">
        <v>225</v>
      </c>
      <c r="N31" s="147" t="s">
        <v>205</v>
      </c>
      <c r="O31" s="166"/>
      <c r="P31" s="158">
        <v>3</v>
      </c>
      <c r="Q31" s="158">
        <v>100</v>
      </c>
      <c r="R31" s="158" t="s">
        <v>439</v>
      </c>
      <c r="S31" s="158" t="s">
        <v>436</v>
      </c>
      <c r="T31" s="158">
        <v>30</v>
      </c>
      <c r="U31" s="158" t="s">
        <v>439</v>
      </c>
      <c r="V31" s="158" t="s">
        <v>440</v>
      </c>
      <c r="W31" s="158" t="s">
        <v>446</v>
      </c>
      <c r="X31" s="159" t="s">
        <v>438</v>
      </c>
      <c r="Z31" s="174" t="s">
        <v>209</v>
      </c>
      <c r="AA31" s="196">
        <v>13</v>
      </c>
      <c r="AB31" s="216" t="s">
        <v>543</v>
      </c>
      <c r="AD31" s="200">
        <v>35</v>
      </c>
      <c r="AE31" s="159">
        <v>1000</v>
      </c>
    </row>
    <row r="32" spans="2:61" ht="14.25" customHeight="1" thickBot="1" x14ac:dyDescent="0.35">
      <c r="B32" s="6"/>
      <c r="C32" s="6"/>
      <c r="D32" s="6"/>
      <c r="E32" s="6"/>
      <c r="F32" s="6"/>
      <c r="G32" s="6"/>
      <c r="H32" s="6"/>
      <c r="I32" s="6"/>
      <c r="J32" s="6"/>
      <c r="M32" s="156">
        <v>250</v>
      </c>
      <c r="N32" s="123" t="s">
        <v>207</v>
      </c>
      <c r="O32" s="166"/>
      <c r="P32" s="158">
        <v>3</v>
      </c>
      <c r="Q32" s="158">
        <v>125</v>
      </c>
      <c r="R32" s="158" t="s">
        <v>439</v>
      </c>
      <c r="S32" s="158" t="s">
        <v>436</v>
      </c>
      <c r="T32" s="158">
        <v>30</v>
      </c>
      <c r="U32" s="158" t="s">
        <v>439</v>
      </c>
      <c r="V32" s="158" t="s">
        <v>440</v>
      </c>
      <c r="W32" s="158" t="s">
        <v>446</v>
      </c>
      <c r="X32" s="159" t="s">
        <v>438</v>
      </c>
      <c r="Z32" s="175" t="s">
        <v>211</v>
      </c>
      <c r="AA32" s="196">
        <v>15</v>
      </c>
      <c r="AB32" s="216" t="s">
        <v>543</v>
      </c>
      <c r="AD32" s="200">
        <v>36</v>
      </c>
      <c r="AE32" s="159">
        <v>1200</v>
      </c>
      <c r="AH32" s="202" t="s">
        <v>521</v>
      </c>
      <c r="AI32" s="199"/>
      <c r="AJ32" s="199"/>
      <c r="AK32" s="199"/>
      <c r="AL32" s="199"/>
      <c r="AM32" s="192"/>
    </row>
    <row r="33" spans="2:39" ht="14.25" customHeight="1" thickBot="1" x14ac:dyDescent="0.35">
      <c r="B33" s="65" t="s">
        <v>120</v>
      </c>
      <c r="C33" s="15"/>
      <c r="D33" s="16"/>
      <c r="E33" s="6"/>
      <c r="F33" s="6"/>
      <c r="G33" s="6"/>
      <c r="H33" s="6"/>
      <c r="I33" s="6"/>
      <c r="J33" s="6"/>
      <c r="M33" s="160">
        <v>275</v>
      </c>
      <c r="N33" s="147" t="s">
        <v>209</v>
      </c>
      <c r="O33" s="166"/>
      <c r="P33" s="158">
        <v>3</v>
      </c>
      <c r="Q33" s="158">
        <v>150</v>
      </c>
      <c r="R33" s="158" t="s">
        <v>439</v>
      </c>
      <c r="S33" s="158" t="s">
        <v>436</v>
      </c>
      <c r="T33" s="158">
        <v>30</v>
      </c>
      <c r="U33" s="158" t="s">
        <v>439</v>
      </c>
      <c r="V33" s="158" t="s">
        <v>440</v>
      </c>
      <c r="W33" s="158" t="s">
        <v>447</v>
      </c>
      <c r="X33" s="159" t="s">
        <v>438</v>
      </c>
      <c r="Z33" s="176" t="s">
        <v>213</v>
      </c>
      <c r="AA33" s="197">
        <v>16</v>
      </c>
      <c r="AB33" s="217" t="s">
        <v>543</v>
      </c>
      <c r="AD33" s="200">
        <v>37</v>
      </c>
      <c r="AE33" s="159">
        <v>1350</v>
      </c>
      <c r="AH33" s="206"/>
      <c r="AI33" s="208" t="s">
        <v>538</v>
      </c>
      <c r="AJ33" s="207"/>
      <c r="AK33" s="207"/>
      <c r="AL33" s="209"/>
      <c r="AM33" s="210"/>
    </row>
    <row r="34" spans="2:39" ht="14.25" customHeight="1" x14ac:dyDescent="0.3">
      <c r="B34" s="12"/>
      <c r="C34" s="6"/>
      <c r="D34" s="13"/>
      <c r="E34" s="6"/>
      <c r="F34" s="6"/>
      <c r="G34" s="6"/>
      <c r="H34" s="6"/>
      <c r="I34" s="6"/>
      <c r="J34" s="6"/>
      <c r="M34" s="156">
        <v>300</v>
      </c>
      <c r="N34" s="123" t="s">
        <v>211</v>
      </c>
      <c r="O34" s="166"/>
      <c r="P34" s="158">
        <v>3</v>
      </c>
      <c r="Q34" s="158">
        <v>200</v>
      </c>
      <c r="R34" s="158" t="s">
        <v>439</v>
      </c>
      <c r="S34" s="158" t="s">
        <v>436</v>
      </c>
      <c r="T34" s="158">
        <v>30</v>
      </c>
      <c r="U34" s="158" t="s">
        <v>439</v>
      </c>
      <c r="V34" s="158" t="s">
        <v>440</v>
      </c>
      <c r="W34" s="158" t="s">
        <v>447</v>
      </c>
      <c r="X34" s="159" t="s">
        <v>438</v>
      </c>
      <c r="Z34" s="173" t="s">
        <v>216</v>
      </c>
      <c r="AA34" s="195">
        <v>1</v>
      </c>
      <c r="AB34" s="215" t="s">
        <v>543</v>
      </c>
      <c r="AD34" s="200">
        <v>38</v>
      </c>
      <c r="AE34" s="159">
        <v>1600</v>
      </c>
      <c r="AH34" s="204" t="s">
        <v>537</v>
      </c>
      <c r="AI34" s="208" t="s">
        <v>539</v>
      </c>
      <c r="AJ34" s="208" t="s">
        <v>540</v>
      </c>
      <c r="AK34" s="211"/>
      <c r="AL34" s="208" t="s">
        <v>542</v>
      </c>
      <c r="AM34" s="210"/>
    </row>
    <row r="35" spans="2:39" ht="14.25" customHeight="1" thickBot="1" x14ac:dyDescent="0.35">
      <c r="B35" s="142" t="s">
        <v>449</v>
      </c>
      <c r="C35" s="134" t="s">
        <v>128</v>
      </c>
      <c r="D35" s="143" t="s">
        <v>129</v>
      </c>
      <c r="E35" s="6"/>
      <c r="F35" s="6"/>
      <c r="G35" s="6"/>
      <c r="H35" s="6"/>
      <c r="I35" s="6"/>
      <c r="J35" s="6"/>
      <c r="M35" s="161">
        <v>400</v>
      </c>
      <c r="N35" s="162" t="s">
        <v>213</v>
      </c>
      <c r="O35" s="163"/>
      <c r="P35" s="163">
        <v>3</v>
      </c>
      <c r="Q35" s="163">
        <v>250</v>
      </c>
      <c r="R35" s="163" t="s">
        <v>439</v>
      </c>
      <c r="S35" s="163" t="s">
        <v>436</v>
      </c>
      <c r="T35" s="163">
        <v>50</v>
      </c>
      <c r="U35" s="163" t="s">
        <v>439</v>
      </c>
      <c r="V35" s="163" t="s">
        <v>440</v>
      </c>
      <c r="W35" s="163" t="s">
        <v>448</v>
      </c>
      <c r="X35" s="164" t="s">
        <v>438</v>
      </c>
      <c r="Z35" s="174" t="s">
        <v>50</v>
      </c>
      <c r="AA35" s="196">
        <v>2</v>
      </c>
      <c r="AB35" s="216" t="s">
        <v>543</v>
      </c>
      <c r="AD35" s="200">
        <v>39</v>
      </c>
      <c r="AE35" s="159">
        <v>2000</v>
      </c>
      <c r="AH35" s="205"/>
      <c r="AI35" s="212" t="s">
        <v>467</v>
      </c>
      <c r="AJ35" s="214" t="s">
        <v>492</v>
      </c>
      <c r="AK35" s="212" t="s">
        <v>467</v>
      </c>
      <c r="AL35" s="213" t="s">
        <v>492</v>
      </c>
      <c r="AM35" s="194" t="s">
        <v>467</v>
      </c>
    </row>
    <row r="36" spans="2:39" ht="14.25" customHeight="1" thickBot="1" x14ac:dyDescent="0.35">
      <c r="B36" s="135"/>
      <c r="C36" s="144"/>
      <c r="D36" s="13"/>
      <c r="E36" s="6"/>
      <c r="F36" s="6"/>
      <c r="G36" s="6"/>
      <c r="H36" s="6"/>
      <c r="I36" s="6"/>
      <c r="J36" s="6"/>
      <c r="M36" s="6"/>
      <c r="N36" s="6"/>
      <c r="P36" s="133"/>
      <c r="Q36" s="133"/>
      <c r="R36" s="133"/>
      <c r="S36" s="133"/>
      <c r="T36" s="133"/>
      <c r="U36" s="133"/>
      <c r="V36" s="133"/>
      <c r="W36" s="133"/>
      <c r="X36" s="133"/>
      <c r="Z36" s="175" t="s">
        <v>52</v>
      </c>
      <c r="AA36" s="196">
        <v>3</v>
      </c>
      <c r="AB36" s="216" t="s">
        <v>543</v>
      </c>
      <c r="AD36" s="200">
        <v>40</v>
      </c>
      <c r="AE36" s="159">
        <v>2500</v>
      </c>
      <c r="AH36" s="200">
        <v>225</v>
      </c>
      <c r="AI36" s="166">
        <v>28700</v>
      </c>
      <c r="AJ36" s="166">
        <v>23000</v>
      </c>
      <c r="AK36" s="166">
        <v>18700</v>
      </c>
      <c r="AL36" s="166">
        <v>12000</v>
      </c>
      <c r="AM36" s="193" t="s">
        <v>541</v>
      </c>
    </row>
    <row r="37" spans="2:39" ht="14.25" customHeight="1" x14ac:dyDescent="0.3">
      <c r="B37" s="135">
        <v>18</v>
      </c>
      <c r="C37" s="144">
        <v>0.75</v>
      </c>
      <c r="D37" s="94">
        <v>1</v>
      </c>
      <c r="E37" s="6"/>
      <c r="F37" s="6"/>
      <c r="G37" s="6"/>
      <c r="H37" s="6"/>
      <c r="I37" s="6"/>
      <c r="J37" s="6"/>
      <c r="M37" s="167" t="s">
        <v>215</v>
      </c>
      <c r="N37" s="168"/>
      <c r="O37" s="169"/>
      <c r="P37" s="169"/>
      <c r="Q37" s="169"/>
      <c r="R37" s="169"/>
      <c r="S37" s="169"/>
      <c r="T37" s="169"/>
      <c r="U37" s="169"/>
      <c r="V37" s="169"/>
      <c r="W37" s="169"/>
      <c r="X37" s="170"/>
      <c r="Z37" s="174" t="s">
        <v>220</v>
      </c>
      <c r="AA37" s="196">
        <v>4</v>
      </c>
      <c r="AB37" s="216" t="s">
        <v>543</v>
      </c>
      <c r="AD37" s="200">
        <v>41</v>
      </c>
      <c r="AE37" s="159">
        <v>3000</v>
      </c>
      <c r="AH37" s="200">
        <v>400</v>
      </c>
      <c r="AI37" s="166">
        <v>38900</v>
      </c>
      <c r="AJ37" s="166">
        <v>34700</v>
      </c>
      <c r="AK37" s="166">
        <v>23900</v>
      </c>
      <c r="AL37" s="166">
        <v>21300</v>
      </c>
      <c r="AM37" s="193" t="s">
        <v>541</v>
      </c>
    </row>
    <row r="38" spans="2:39" ht="14.25" customHeight="1" thickBot="1" x14ac:dyDescent="0.35">
      <c r="B38" s="135">
        <v>16</v>
      </c>
      <c r="C38" s="144">
        <v>1.25</v>
      </c>
      <c r="D38" s="13">
        <v>1.2</v>
      </c>
      <c r="E38" s="6"/>
      <c r="F38" s="6"/>
      <c r="G38" s="6"/>
      <c r="H38" s="6"/>
      <c r="I38" s="6"/>
      <c r="J38" s="6"/>
      <c r="M38" s="156">
        <v>20</v>
      </c>
      <c r="N38" s="123" t="s">
        <v>216</v>
      </c>
      <c r="O38" s="166"/>
      <c r="P38" s="158">
        <v>4</v>
      </c>
      <c r="Q38" s="158">
        <v>2</v>
      </c>
      <c r="R38" s="158" t="s">
        <v>435</v>
      </c>
      <c r="S38" s="158" t="s">
        <v>436</v>
      </c>
      <c r="T38" s="158">
        <v>2</v>
      </c>
      <c r="U38" s="158" t="s">
        <v>435</v>
      </c>
      <c r="V38" s="158" t="s">
        <v>440</v>
      </c>
      <c r="W38" s="158" t="s">
        <v>437</v>
      </c>
      <c r="X38" s="159" t="s">
        <v>438</v>
      </c>
      <c r="Z38" s="175" t="s">
        <v>222</v>
      </c>
      <c r="AA38" s="196">
        <v>5</v>
      </c>
      <c r="AB38" s="216" t="s">
        <v>543</v>
      </c>
      <c r="AD38" s="201">
        <v>42</v>
      </c>
      <c r="AE38" s="164">
        <v>4000</v>
      </c>
      <c r="AH38" s="200">
        <v>600</v>
      </c>
      <c r="AI38" s="166">
        <v>41000</v>
      </c>
      <c r="AJ38" s="166">
        <v>38300</v>
      </c>
      <c r="AK38" s="166">
        <v>36500</v>
      </c>
      <c r="AL38" s="166">
        <v>31300</v>
      </c>
      <c r="AM38" s="193" t="s">
        <v>541</v>
      </c>
    </row>
    <row r="39" spans="2:39" ht="14.25" customHeight="1" x14ac:dyDescent="0.3">
      <c r="B39" s="135">
        <v>14</v>
      </c>
      <c r="C39" s="144">
        <v>2</v>
      </c>
      <c r="D39" s="13">
        <v>1.6</v>
      </c>
      <c r="E39" s="6"/>
      <c r="F39" s="6"/>
      <c r="G39" s="6"/>
      <c r="H39" s="6"/>
      <c r="I39" s="6"/>
      <c r="J39" s="6"/>
      <c r="M39" s="160">
        <v>30</v>
      </c>
      <c r="N39" s="147" t="s">
        <v>50</v>
      </c>
      <c r="O39" s="166"/>
      <c r="P39" s="158">
        <v>4</v>
      </c>
      <c r="Q39" s="158">
        <v>5.5</v>
      </c>
      <c r="R39" s="158" t="s">
        <v>439</v>
      </c>
      <c r="S39" s="158" t="s">
        <v>442</v>
      </c>
      <c r="T39" s="158">
        <v>2</v>
      </c>
      <c r="U39" s="158" t="s">
        <v>435</v>
      </c>
      <c r="V39" s="158" t="s">
        <v>440</v>
      </c>
      <c r="W39" s="158" t="s">
        <v>441</v>
      </c>
      <c r="X39" s="159" t="s">
        <v>438</v>
      </c>
      <c r="Z39" s="174" t="s">
        <v>224</v>
      </c>
      <c r="AA39" s="196">
        <v>6</v>
      </c>
      <c r="AB39" s="216" t="s">
        <v>543</v>
      </c>
      <c r="AH39" s="200">
        <v>800</v>
      </c>
      <c r="AI39" s="166">
        <v>46100</v>
      </c>
      <c r="AJ39" s="166">
        <v>57500</v>
      </c>
      <c r="AK39" s="166">
        <v>49300</v>
      </c>
      <c r="AL39" s="166">
        <v>44100</v>
      </c>
      <c r="AM39" s="193" t="s">
        <v>541</v>
      </c>
    </row>
    <row r="40" spans="2:39" ht="14.25" customHeight="1" x14ac:dyDescent="0.3">
      <c r="B40" s="135">
        <v>12</v>
      </c>
      <c r="C40" s="144">
        <v>3.5</v>
      </c>
      <c r="D40" s="13">
        <v>2</v>
      </c>
      <c r="E40" s="6"/>
      <c r="F40" s="6"/>
      <c r="G40" s="6"/>
      <c r="H40" s="6"/>
      <c r="I40" s="6"/>
      <c r="J40" s="6"/>
      <c r="M40" s="156">
        <v>40</v>
      </c>
      <c r="N40" s="123" t="s">
        <v>52</v>
      </c>
      <c r="O40" s="166"/>
      <c r="P40" s="158">
        <v>4</v>
      </c>
      <c r="Q40" s="158">
        <v>8</v>
      </c>
      <c r="R40" s="158" t="s">
        <v>439</v>
      </c>
      <c r="S40" s="158" t="s">
        <v>442</v>
      </c>
      <c r="T40" s="158">
        <v>5.5</v>
      </c>
      <c r="U40" s="158" t="s">
        <v>439</v>
      </c>
      <c r="V40" s="158" t="s">
        <v>440</v>
      </c>
      <c r="W40" s="158" t="s">
        <v>443</v>
      </c>
      <c r="X40" s="159" t="s">
        <v>438</v>
      </c>
      <c r="Z40" s="175" t="s">
        <v>228</v>
      </c>
      <c r="AA40" s="196">
        <v>8</v>
      </c>
      <c r="AB40" s="216" t="s">
        <v>543</v>
      </c>
      <c r="AH40" s="200">
        <v>1000</v>
      </c>
      <c r="AI40" s="166">
        <v>69400</v>
      </c>
      <c r="AJ40" s="166">
        <v>89300</v>
      </c>
      <c r="AK40" s="166">
        <v>62900</v>
      </c>
      <c r="AL40" s="166">
        <v>56200</v>
      </c>
      <c r="AM40" s="193">
        <v>15600</v>
      </c>
    </row>
    <row r="41" spans="2:39" ht="14.25" customHeight="1" x14ac:dyDescent="0.3">
      <c r="B41" s="135">
        <v>10</v>
      </c>
      <c r="C41" s="144">
        <v>5.5</v>
      </c>
      <c r="D41" s="13">
        <v>2.6</v>
      </c>
      <c r="E41" s="6"/>
      <c r="F41" s="6"/>
      <c r="G41" s="6"/>
      <c r="H41" s="6"/>
      <c r="I41" s="6"/>
      <c r="J41" s="6"/>
      <c r="M41" s="160" t="s">
        <v>165</v>
      </c>
      <c r="N41" s="147" t="s">
        <v>220</v>
      </c>
      <c r="O41" s="166"/>
      <c r="P41" s="158">
        <v>4</v>
      </c>
      <c r="Q41" s="158">
        <v>14</v>
      </c>
      <c r="R41" s="158" t="s">
        <v>439</v>
      </c>
      <c r="S41" s="158" t="s">
        <v>442</v>
      </c>
      <c r="T41" s="158">
        <v>8</v>
      </c>
      <c r="U41" s="158" t="s">
        <v>439</v>
      </c>
      <c r="V41" s="158" t="s">
        <v>440</v>
      </c>
      <c r="W41" s="158" t="s">
        <v>443</v>
      </c>
      <c r="X41" s="159" t="s">
        <v>438</v>
      </c>
      <c r="Z41" s="174" t="s">
        <v>232</v>
      </c>
      <c r="AA41" s="196">
        <v>9</v>
      </c>
      <c r="AB41" s="216" t="s">
        <v>543</v>
      </c>
      <c r="AH41" s="200">
        <v>1200</v>
      </c>
      <c r="AI41" s="166">
        <v>94300</v>
      </c>
      <c r="AJ41" s="166">
        <v>97100</v>
      </c>
      <c r="AK41" s="166">
        <v>76900</v>
      </c>
      <c r="AL41" s="166">
        <v>69900</v>
      </c>
      <c r="AM41" s="193">
        <v>16100</v>
      </c>
    </row>
    <row r="42" spans="2:39" ht="14.25" customHeight="1" thickBot="1" x14ac:dyDescent="0.35">
      <c r="B42" s="135">
        <v>8</v>
      </c>
      <c r="C42" s="144">
        <v>8</v>
      </c>
      <c r="D42" s="13">
        <v>3.2</v>
      </c>
      <c r="E42" s="6"/>
      <c r="F42" s="6"/>
      <c r="G42" s="6"/>
      <c r="H42" s="6"/>
      <c r="I42" s="6"/>
      <c r="J42" s="6"/>
      <c r="M42" s="156" t="s">
        <v>168</v>
      </c>
      <c r="N42" s="123" t="s">
        <v>222</v>
      </c>
      <c r="O42" s="166"/>
      <c r="P42" s="158">
        <v>4</v>
      </c>
      <c r="Q42" s="158">
        <v>22</v>
      </c>
      <c r="R42" s="158" t="s">
        <v>439</v>
      </c>
      <c r="S42" s="158" t="s">
        <v>442</v>
      </c>
      <c r="T42" s="158">
        <v>8</v>
      </c>
      <c r="U42" s="158" t="s">
        <v>439</v>
      </c>
      <c r="V42" s="158" t="s">
        <v>440</v>
      </c>
      <c r="W42" s="158" t="s">
        <v>444</v>
      </c>
      <c r="X42" s="159" t="s">
        <v>438</v>
      </c>
      <c r="Z42" s="175" t="s">
        <v>234</v>
      </c>
      <c r="AA42" s="196">
        <v>10</v>
      </c>
      <c r="AB42" s="216" t="s">
        <v>543</v>
      </c>
      <c r="AH42" s="200">
        <v>1350</v>
      </c>
      <c r="AI42" s="166">
        <v>119000</v>
      </c>
      <c r="AJ42" s="166">
        <v>104200</v>
      </c>
      <c r="AK42" s="166">
        <v>90100</v>
      </c>
      <c r="AL42" s="166">
        <v>84000</v>
      </c>
      <c r="AM42" s="193">
        <v>17500</v>
      </c>
    </row>
    <row r="43" spans="2:39" ht="14.25" customHeight="1" thickBot="1" x14ac:dyDescent="0.35">
      <c r="B43" s="135">
        <v>6</v>
      </c>
      <c r="C43" s="144">
        <v>14</v>
      </c>
      <c r="D43" s="13"/>
      <c r="E43" s="6"/>
      <c r="F43" s="6"/>
      <c r="G43" s="6"/>
      <c r="H43" s="6"/>
      <c r="I43" s="6"/>
      <c r="J43" s="6"/>
      <c r="M43" s="160">
        <v>100</v>
      </c>
      <c r="N43" s="147" t="s">
        <v>224</v>
      </c>
      <c r="O43" s="166"/>
      <c r="P43" s="158">
        <v>4</v>
      </c>
      <c r="Q43" s="158">
        <v>30</v>
      </c>
      <c r="R43" s="158" t="s">
        <v>439</v>
      </c>
      <c r="S43" s="158" t="s">
        <v>442</v>
      </c>
      <c r="T43" s="158">
        <v>8</v>
      </c>
      <c r="U43" s="158" t="s">
        <v>439</v>
      </c>
      <c r="V43" s="158" t="s">
        <v>440</v>
      </c>
      <c r="W43" s="158" t="s">
        <v>444</v>
      </c>
      <c r="X43" s="159" t="s">
        <v>438</v>
      </c>
      <c r="Z43" s="174" t="s">
        <v>238</v>
      </c>
      <c r="AA43" s="196">
        <v>11</v>
      </c>
      <c r="AB43" s="216" t="s">
        <v>543</v>
      </c>
      <c r="AD43" s="332" t="s">
        <v>547</v>
      </c>
      <c r="AE43" s="198"/>
      <c r="AH43" s="200">
        <v>1600</v>
      </c>
      <c r="AI43" s="166">
        <v>129900</v>
      </c>
      <c r="AJ43" s="166">
        <v>120500</v>
      </c>
      <c r="AK43" s="166">
        <v>101000</v>
      </c>
      <c r="AL43" s="166">
        <v>90900</v>
      </c>
      <c r="AM43" s="193">
        <v>19200</v>
      </c>
    </row>
    <row r="44" spans="2:39" ht="14.25" customHeight="1" x14ac:dyDescent="0.3">
      <c r="B44" s="135">
        <v>4</v>
      </c>
      <c r="C44" s="144">
        <v>22</v>
      </c>
      <c r="D44" s="13"/>
      <c r="E44" s="6"/>
      <c r="F44" s="6"/>
      <c r="G44" s="6"/>
      <c r="H44" s="6"/>
      <c r="I44" s="6"/>
      <c r="J44" s="6"/>
      <c r="M44" s="156">
        <v>125</v>
      </c>
      <c r="N44" s="123" t="s">
        <v>228</v>
      </c>
      <c r="O44" s="166"/>
      <c r="P44" s="158">
        <v>4</v>
      </c>
      <c r="Q44" s="158">
        <v>50</v>
      </c>
      <c r="R44" s="158" t="s">
        <v>439</v>
      </c>
      <c r="S44" s="158" t="s">
        <v>442</v>
      </c>
      <c r="T44" s="158">
        <v>14</v>
      </c>
      <c r="U44" s="158" t="s">
        <v>439</v>
      </c>
      <c r="V44" s="158" t="s">
        <v>440</v>
      </c>
      <c r="W44" s="158" t="s">
        <v>445</v>
      </c>
      <c r="X44" s="159" t="s">
        <v>438</v>
      </c>
      <c r="Z44" s="175" t="s">
        <v>242</v>
      </c>
      <c r="AA44" s="196">
        <v>12</v>
      </c>
      <c r="AB44" s="216" t="s">
        <v>543</v>
      </c>
      <c r="AD44" s="196" t="s">
        <v>546</v>
      </c>
      <c r="AE44" s="196" t="s">
        <v>582</v>
      </c>
      <c r="AH44" s="200">
        <v>2000</v>
      </c>
      <c r="AI44" s="166">
        <v>142900</v>
      </c>
      <c r="AJ44" s="166">
        <v>135100</v>
      </c>
      <c r="AK44" s="166">
        <v>134200</v>
      </c>
      <c r="AL44" s="166">
        <v>125000</v>
      </c>
      <c r="AM44" s="193">
        <v>20400</v>
      </c>
    </row>
    <row r="45" spans="2:39" ht="14.25" customHeight="1" thickBot="1" x14ac:dyDescent="0.35">
      <c r="B45" s="135">
        <v>3</v>
      </c>
      <c r="C45" s="144">
        <v>26</v>
      </c>
      <c r="D45" s="13"/>
      <c r="E45" s="6"/>
      <c r="F45" s="6"/>
      <c r="G45" s="6"/>
      <c r="H45" s="6"/>
      <c r="I45" s="6"/>
      <c r="J45" s="6"/>
      <c r="M45" s="160">
        <v>150</v>
      </c>
      <c r="N45" s="147" t="s">
        <v>232</v>
      </c>
      <c r="O45" s="166"/>
      <c r="P45" s="158">
        <v>4</v>
      </c>
      <c r="Q45" s="158">
        <v>60</v>
      </c>
      <c r="R45" s="158" t="s">
        <v>439</v>
      </c>
      <c r="S45" s="158" t="s">
        <v>442</v>
      </c>
      <c r="T45" s="158">
        <v>14</v>
      </c>
      <c r="U45" s="158" t="s">
        <v>439</v>
      </c>
      <c r="V45" s="158" t="s">
        <v>440</v>
      </c>
      <c r="W45" s="158" t="s">
        <v>445</v>
      </c>
      <c r="X45" s="159" t="s">
        <v>438</v>
      </c>
      <c r="Z45" s="174" t="s">
        <v>245</v>
      </c>
      <c r="AA45" s="196">
        <v>13</v>
      </c>
      <c r="AB45" s="216" t="s">
        <v>543</v>
      </c>
      <c r="AD45" s="197" t="s">
        <v>545</v>
      </c>
      <c r="AE45" s="197" t="s">
        <v>583</v>
      </c>
      <c r="AH45" s="200">
        <v>2500</v>
      </c>
      <c r="AI45" s="166">
        <v>143800</v>
      </c>
      <c r="AJ45" s="166">
        <v>156300</v>
      </c>
      <c r="AK45" s="166">
        <v>180500</v>
      </c>
      <c r="AL45" s="166">
        <v>166700</v>
      </c>
      <c r="AM45" s="193">
        <v>21700</v>
      </c>
    </row>
    <row r="46" spans="2:39" ht="14.25" customHeight="1" thickBot="1" x14ac:dyDescent="0.35">
      <c r="B46" s="135">
        <v>2</v>
      </c>
      <c r="C46" s="144">
        <v>30</v>
      </c>
      <c r="D46" s="13"/>
      <c r="E46" s="6"/>
      <c r="F46" s="6"/>
      <c r="G46" s="6"/>
      <c r="H46" s="6"/>
      <c r="I46" s="6"/>
      <c r="J46" s="6"/>
      <c r="M46" s="156">
        <v>200</v>
      </c>
      <c r="N46" s="123" t="s">
        <v>234</v>
      </c>
      <c r="O46" s="166"/>
      <c r="P46" s="158">
        <v>4</v>
      </c>
      <c r="Q46" s="158">
        <v>80</v>
      </c>
      <c r="R46" s="158" t="s">
        <v>439</v>
      </c>
      <c r="S46" s="158" t="s">
        <v>442</v>
      </c>
      <c r="T46" s="158">
        <v>22</v>
      </c>
      <c r="U46" s="158" t="s">
        <v>439</v>
      </c>
      <c r="V46" s="158" t="s">
        <v>440</v>
      </c>
      <c r="W46" s="158" t="s">
        <v>445</v>
      </c>
      <c r="X46" s="159" t="s">
        <v>438</v>
      </c>
      <c r="Z46" s="175" t="s">
        <v>249</v>
      </c>
      <c r="AA46" s="196">
        <v>15</v>
      </c>
      <c r="AB46" s="216" t="s">
        <v>543</v>
      </c>
      <c r="AD46" s="218" t="s">
        <v>638</v>
      </c>
      <c r="AE46" s="333" t="s">
        <v>176</v>
      </c>
      <c r="AH46" s="200">
        <v>3000</v>
      </c>
      <c r="AI46" s="166">
        <v>144900</v>
      </c>
      <c r="AJ46" s="166">
        <v>175400</v>
      </c>
      <c r="AK46" s="166">
        <v>204100</v>
      </c>
      <c r="AL46" s="166">
        <v>188700</v>
      </c>
      <c r="AM46" s="193">
        <v>23800</v>
      </c>
    </row>
    <row r="47" spans="2:39" ht="14.25" customHeight="1" thickBot="1" x14ac:dyDescent="0.35">
      <c r="B47" s="135">
        <v>1</v>
      </c>
      <c r="C47" s="144">
        <v>38</v>
      </c>
      <c r="D47" s="13"/>
      <c r="E47" s="6"/>
      <c r="F47" s="6"/>
      <c r="G47" s="6"/>
      <c r="H47" s="6"/>
      <c r="I47" s="6"/>
      <c r="J47" s="6"/>
      <c r="M47" s="160">
        <v>225</v>
      </c>
      <c r="N47" s="147" t="s">
        <v>238</v>
      </c>
      <c r="O47" s="166"/>
      <c r="P47" s="158">
        <v>4</v>
      </c>
      <c r="Q47" s="158">
        <v>100</v>
      </c>
      <c r="R47" s="158" t="s">
        <v>439</v>
      </c>
      <c r="S47" s="158" t="s">
        <v>442</v>
      </c>
      <c r="T47" s="158">
        <v>30</v>
      </c>
      <c r="U47" s="158" t="s">
        <v>439</v>
      </c>
      <c r="V47" s="158" t="s">
        <v>440</v>
      </c>
      <c r="W47" s="158" t="s">
        <v>446</v>
      </c>
      <c r="X47" s="159" t="s">
        <v>438</v>
      </c>
      <c r="Z47" s="176" t="s">
        <v>252</v>
      </c>
      <c r="AA47" s="197">
        <v>16</v>
      </c>
      <c r="AB47" s="217" t="s">
        <v>543</v>
      </c>
      <c r="AD47" s="165"/>
      <c r="AE47" s="165"/>
      <c r="AH47" s="201">
        <v>4000</v>
      </c>
      <c r="AI47" s="191" t="s">
        <v>541</v>
      </c>
      <c r="AJ47" s="191" t="s">
        <v>541</v>
      </c>
      <c r="AK47" s="191">
        <v>277800</v>
      </c>
      <c r="AL47" s="191">
        <v>256400</v>
      </c>
      <c r="AM47" s="194" t="s">
        <v>541</v>
      </c>
    </row>
    <row r="48" spans="2:39" ht="14.25" customHeight="1" thickBot="1" x14ac:dyDescent="0.35">
      <c r="B48" s="145" t="s">
        <v>450</v>
      </c>
      <c r="C48" s="144">
        <v>50</v>
      </c>
      <c r="D48" s="13"/>
      <c r="E48" s="6"/>
      <c r="F48" s="6"/>
      <c r="G48" s="6"/>
      <c r="H48" s="6"/>
      <c r="I48" s="6"/>
      <c r="J48" s="6"/>
      <c r="M48" s="156">
        <v>250</v>
      </c>
      <c r="N48" s="123" t="s">
        <v>242</v>
      </c>
      <c r="O48" s="166"/>
      <c r="P48" s="158">
        <v>4</v>
      </c>
      <c r="Q48" s="158">
        <v>125</v>
      </c>
      <c r="R48" s="158" t="s">
        <v>439</v>
      </c>
      <c r="S48" s="158" t="s">
        <v>442</v>
      </c>
      <c r="T48" s="158">
        <v>30</v>
      </c>
      <c r="U48" s="158" t="s">
        <v>439</v>
      </c>
      <c r="V48" s="158" t="s">
        <v>440</v>
      </c>
      <c r="W48" s="158" t="s">
        <v>446</v>
      </c>
      <c r="X48" s="159" t="s">
        <v>438</v>
      </c>
      <c r="Z48" s="173" t="s">
        <v>259</v>
      </c>
      <c r="AA48" s="195">
        <v>1</v>
      </c>
      <c r="AB48" s="215" t="s">
        <v>543</v>
      </c>
      <c r="AD48" s="332" t="s">
        <v>550</v>
      </c>
      <c r="AE48" s="198"/>
    </row>
    <row r="49" spans="2:31" ht="14.25" customHeight="1" x14ac:dyDescent="0.3">
      <c r="B49" s="145" t="s">
        <v>451</v>
      </c>
      <c r="C49" s="144">
        <v>60</v>
      </c>
      <c r="D49" s="13"/>
      <c r="E49" s="6"/>
      <c r="F49" s="6"/>
      <c r="G49" s="6"/>
      <c r="H49" s="6"/>
      <c r="I49" s="6"/>
      <c r="J49" s="6"/>
      <c r="M49" s="160">
        <v>275</v>
      </c>
      <c r="N49" s="147" t="s">
        <v>245</v>
      </c>
      <c r="O49" s="166"/>
      <c r="P49" s="158">
        <v>4</v>
      </c>
      <c r="Q49" s="158">
        <v>150</v>
      </c>
      <c r="R49" s="158" t="s">
        <v>439</v>
      </c>
      <c r="S49" s="158" t="s">
        <v>442</v>
      </c>
      <c r="T49" s="158">
        <v>30</v>
      </c>
      <c r="U49" s="158" t="s">
        <v>439</v>
      </c>
      <c r="V49" s="158" t="s">
        <v>440</v>
      </c>
      <c r="W49" s="158" t="s">
        <v>447</v>
      </c>
      <c r="X49" s="159" t="s">
        <v>438</v>
      </c>
      <c r="Z49" s="174" t="s">
        <v>263</v>
      </c>
      <c r="AA49" s="196">
        <v>2</v>
      </c>
      <c r="AB49" s="216" t="s">
        <v>543</v>
      </c>
      <c r="AD49" s="196" t="s">
        <v>433</v>
      </c>
      <c r="AE49" s="196" t="s">
        <v>584</v>
      </c>
    </row>
    <row r="50" spans="2:31" ht="14.25" customHeight="1" thickBot="1" x14ac:dyDescent="0.35">
      <c r="B50" s="145" t="s">
        <v>452</v>
      </c>
      <c r="C50" s="144">
        <v>80</v>
      </c>
      <c r="D50" s="13"/>
      <c r="E50" s="6"/>
      <c r="F50" s="6"/>
      <c r="G50" s="6"/>
      <c r="H50" s="6"/>
      <c r="I50" s="6"/>
      <c r="J50" s="6"/>
      <c r="M50" s="156">
        <v>300</v>
      </c>
      <c r="N50" s="123" t="s">
        <v>249</v>
      </c>
      <c r="O50" s="166"/>
      <c r="P50" s="158">
        <v>4</v>
      </c>
      <c r="Q50" s="158">
        <v>200</v>
      </c>
      <c r="R50" s="158" t="s">
        <v>439</v>
      </c>
      <c r="S50" s="158" t="s">
        <v>442</v>
      </c>
      <c r="T50" s="158">
        <v>30</v>
      </c>
      <c r="U50" s="158" t="s">
        <v>439</v>
      </c>
      <c r="V50" s="158" t="s">
        <v>440</v>
      </c>
      <c r="W50" s="158" t="s">
        <v>447</v>
      </c>
      <c r="X50" s="159" t="s">
        <v>438</v>
      </c>
      <c r="Z50" s="175" t="s">
        <v>266</v>
      </c>
      <c r="AA50" s="196">
        <v>3</v>
      </c>
      <c r="AB50" s="216" t="s">
        <v>543</v>
      </c>
      <c r="AD50" s="197" t="s">
        <v>516</v>
      </c>
      <c r="AE50" s="197" t="s">
        <v>152</v>
      </c>
    </row>
    <row r="51" spans="2:31" ht="14.25" customHeight="1" thickBot="1" x14ac:dyDescent="0.35">
      <c r="B51" s="145" t="s">
        <v>453</v>
      </c>
      <c r="C51" s="144">
        <v>100</v>
      </c>
      <c r="D51" s="13"/>
      <c r="E51" s="6"/>
      <c r="F51" s="6"/>
      <c r="G51" s="6"/>
      <c r="H51" s="6"/>
      <c r="I51" s="6"/>
      <c r="J51" s="6"/>
      <c r="M51" s="161">
        <v>400</v>
      </c>
      <c r="N51" s="162" t="s">
        <v>252</v>
      </c>
      <c r="O51" s="163"/>
      <c r="P51" s="163">
        <v>4</v>
      </c>
      <c r="Q51" s="163">
        <v>250</v>
      </c>
      <c r="R51" s="163" t="s">
        <v>439</v>
      </c>
      <c r="S51" s="163" t="s">
        <v>442</v>
      </c>
      <c r="T51" s="163">
        <v>50</v>
      </c>
      <c r="U51" s="163" t="s">
        <v>439</v>
      </c>
      <c r="V51" s="163" t="s">
        <v>440</v>
      </c>
      <c r="W51" s="163" t="s">
        <v>448</v>
      </c>
      <c r="X51" s="164" t="s">
        <v>438</v>
      </c>
      <c r="Z51" s="174" t="s">
        <v>270</v>
      </c>
      <c r="AA51" s="196">
        <v>4</v>
      </c>
      <c r="AB51" s="216" t="s">
        <v>543</v>
      </c>
      <c r="AD51" s="218" t="s">
        <v>639</v>
      </c>
      <c r="AE51" s="333" t="s">
        <v>176</v>
      </c>
    </row>
    <row r="52" spans="2:31" ht="14.25" customHeight="1" thickBot="1" x14ac:dyDescent="0.35">
      <c r="B52" s="135">
        <v>250</v>
      </c>
      <c r="C52" s="144">
        <v>125</v>
      </c>
      <c r="D52" s="13"/>
      <c r="E52" s="6"/>
      <c r="F52" s="6"/>
      <c r="G52" s="6"/>
      <c r="H52" s="6"/>
      <c r="I52" s="6"/>
      <c r="J52" s="6"/>
      <c r="M52" s="6"/>
      <c r="N52" s="6"/>
      <c r="P52" s="133"/>
      <c r="Q52" s="133"/>
      <c r="R52" s="133"/>
      <c r="S52" s="133"/>
      <c r="T52" s="133"/>
      <c r="U52" s="133"/>
      <c r="V52" s="133"/>
      <c r="W52" s="133"/>
      <c r="X52" s="133"/>
      <c r="Z52" s="175" t="s">
        <v>272</v>
      </c>
      <c r="AA52" s="196">
        <v>5</v>
      </c>
      <c r="AB52" s="216" t="s">
        <v>543</v>
      </c>
      <c r="AD52" s="165"/>
      <c r="AE52" s="165"/>
    </row>
    <row r="53" spans="2:31" ht="14.25" customHeight="1" x14ac:dyDescent="0.3">
      <c r="B53" s="135">
        <v>300</v>
      </c>
      <c r="C53" s="144">
        <v>150</v>
      </c>
      <c r="D53" s="13"/>
      <c r="E53" s="6"/>
      <c r="F53" s="6"/>
      <c r="G53" s="6"/>
      <c r="H53" s="6"/>
      <c r="I53" s="6"/>
      <c r="J53" s="6"/>
      <c r="M53" s="167" t="s">
        <v>257</v>
      </c>
      <c r="N53" s="168"/>
      <c r="O53" s="169"/>
      <c r="P53" s="169"/>
      <c r="Q53" s="169"/>
      <c r="R53" s="169"/>
      <c r="S53" s="169"/>
      <c r="T53" s="169"/>
      <c r="U53" s="169"/>
      <c r="V53" s="169"/>
      <c r="W53" s="169"/>
      <c r="X53" s="170"/>
      <c r="Z53" s="174" t="s">
        <v>274</v>
      </c>
      <c r="AA53" s="196">
        <v>6</v>
      </c>
      <c r="AB53" s="216" t="s">
        <v>543</v>
      </c>
      <c r="AD53" s="219" t="s">
        <v>551</v>
      </c>
      <c r="AE53" s="165"/>
    </row>
    <row r="54" spans="2:31" ht="14.25" customHeight="1" x14ac:dyDescent="0.3">
      <c r="B54" s="135">
        <v>350</v>
      </c>
      <c r="C54" s="144">
        <v>175</v>
      </c>
      <c r="D54" s="13"/>
      <c r="E54" s="6"/>
      <c r="F54" s="6"/>
      <c r="G54" s="6"/>
      <c r="H54" s="6"/>
      <c r="I54" s="6"/>
      <c r="J54" s="6"/>
      <c r="M54" s="156">
        <v>20</v>
      </c>
      <c r="N54" s="123" t="s">
        <v>259</v>
      </c>
      <c r="O54" s="166"/>
      <c r="P54" s="158">
        <v>3</v>
      </c>
      <c r="Q54" s="158">
        <v>2</v>
      </c>
      <c r="R54" s="158" t="s">
        <v>435</v>
      </c>
      <c r="S54" s="158" t="s">
        <v>454</v>
      </c>
      <c r="T54" s="158">
        <v>2</v>
      </c>
      <c r="U54" s="158" t="s">
        <v>435</v>
      </c>
      <c r="V54" s="158" t="s">
        <v>440</v>
      </c>
      <c r="W54" s="158" t="s">
        <v>443</v>
      </c>
      <c r="X54" s="159" t="s">
        <v>438</v>
      </c>
      <c r="Z54" s="175" t="s">
        <v>276</v>
      </c>
      <c r="AA54" s="196">
        <v>8</v>
      </c>
      <c r="AB54" s="216" t="s">
        <v>543</v>
      </c>
      <c r="AD54" s="196" t="s">
        <v>517</v>
      </c>
      <c r="AE54" s="165"/>
    </row>
    <row r="55" spans="2:31" ht="14.25" customHeight="1" x14ac:dyDescent="0.3">
      <c r="B55" s="135">
        <v>400</v>
      </c>
      <c r="C55" s="144">
        <v>200</v>
      </c>
      <c r="D55" s="13"/>
      <c r="E55" s="6"/>
      <c r="F55" s="6"/>
      <c r="G55" s="6"/>
      <c r="H55" s="6"/>
      <c r="I55" s="6"/>
      <c r="J55" s="6"/>
      <c r="M55" s="160">
        <v>30</v>
      </c>
      <c r="N55" s="147" t="s">
        <v>263</v>
      </c>
      <c r="O55" s="166"/>
      <c r="P55" s="158">
        <v>3</v>
      </c>
      <c r="Q55" s="158">
        <v>5.5</v>
      </c>
      <c r="R55" s="158" t="s">
        <v>439</v>
      </c>
      <c r="S55" s="158" t="s">
        <v>454</v>
      </c>
      <c r="T55" s="158">
        <v>2</v>
      </c>
      <c r="U55" s="158" t="s">
        <v>435</v>
      </c>
      <c r="V55" s="158" t="s">
        <v>440</v>
      </c>
      <c r="W55" s="158" t="s">
        <v>443</v>
      </c>
      <c r="X55" s="159" t="s">
        <v>438</v>
      </c>
      <c r="Z55" s="174" t="s">
        <v>278</v>
      </c>
      <c r="AA55" s="196">
        <v>9</v>
      </c>
      <c r="AB55" s="216" t="s">
        <v>543</v>
      </c>
      <c r="AD55" s="196" t="s">
        <v>518</v>
      </c>
      <c r="AE55" s="165"/>
    </row>
    <row r="56" spans="2:31" ht="14.25" customHeight="1" thickBot="1" x14ac:dyDescent="0.35">
      <c r="B56" s="135">
        <v>500</v>
      </c>
      <c r="C56" s="144">
        <v>250</v>
      </c>
      <c r="D56" s="13"/>
      <c r="E56" s="6"/>
      <c r="F56" s="6"/>
      <c r="G56" s="6"/>
      <c r="H56" s="6"/>
      <c r="I56" s="6"/>
      <c r="J56" s="6"/>
      <c r="M56" s="156">
        <v>40</v>
      </c>
      <c r="N56" s="123" t="s">
        <v>266</v>
      </c>
      <c r="O56" s="166"/>
      <c r="P56" s="158">
        <v>3</v>
      </c>
      <c r="Q56" s="158">
        <v>8</v>
      </c>
      <c r="R56" s="158" t="s">
        <v>439</v>
      </c>
      <c r="S56" s="158" t="s">
        <v>454</v>
      </c>
      <c r="T56" s="158">
        <v>5.5</v>
      </c>
      <c r="U56" s="158" t="s">
        <v>439</v>
      </c>
      <c r="V56" s="158" t="s">
        <v>440</v>
      </c>
      <c r="W56" s="158" t="s">
        <v>443</v>
      </c>
      <c r="X56" s="159" t="s">
        <v>438</v>
      </c>
      <c r="Z56" s="175" t="s">
        <v>279</v>
      </c>
      <c r="AA56" s="196">
        <v>10</v>
      </c>
      <c r="AB56" s="216" t="s">
        <v>543</v>
      </c>
      <c r="AD56" s="197" t="s">
        <v>519</v>
      </c>
      <c r="AE56" s="165"/>
    </row>
    <row r="57" spans="2:31" ht="14.25" customHeight="1" thickBot="1" x14ac:dyDescent="0.35">
      <c r="B57" s="135">
        <v>600</v>
      </c>
      <c r="C57" s="144">
        <v>300</v>
      </c>
      <c r="D57" s="13"/>
      <c r="E57" s="6"/>
      <c r="F57" s="6"/>
      <c r="G57" s="6"/>
      <c r="H57" s="6"/>
      <c r="I57" s="6"/>
      <c r="J57" s="6"/>
      <c r="M57" s="160" t="s">
        <v>165</v>
      </c>
      <c r="N57" s="147" t="s">
        <v>270</v>
      </c>
      <c r="O57" s="166"/>
      <c r="P57" s="158">
        <v>3</v>
      </c>
      <c r="Q57" s="158">
        <v>14</v>
      </c>
      <c r="R57" s="158" t="s">
        <v>439</v>
      </c>
      <c r="S57" s="158" t="s">
        <v>454</v>
      </c>
      <c r="T57" s="158">
        <v>8</v>
      </c>
      <c r="U57" s="158" t="s">
        <v>439</v>
      </c>
      <c r="V57" s="158" t="s">
        <v>440</v>
      </c>
      <c r="W57" s="158" t="s">
        <v>443</v>
      </c>
      <c r="X57" s="159" t="s">
        <v>438</v>
      </c>
      <c r="Z57" s="174" t="s">
        <v>281</v>
      </c>
      <c r="AA57" s="196">
        <v>11</v>
      </c>
      <c r="AB57" s="216" t="s">
        <v>543</v>
      </c>
      <c r="AD57" s="177" t="s">
        <v>176</v>
      </c>
      <c r="AE57" s="165"/>
    </row>
    <row r="58" spans="2:31" ht="14.25" customHeight="1" x14ac:dyDescent="0.3">
      <c r="B58" s="135">
        <v>700</v>
      </c>
      <c r="C58" s="144">
        <v>450</v>
      </c>
      <c r="D58" s="13"/>
      <c r="E58" s="6"/>
      <c r="F58" s="6"/>
      <c r="G58" s="6"/>
      <c r="H58" s="6"/>
      <c r="I58" s="6"/>
      <c r="J58" s="6"/>
      <c r="M58" s="156" t="s">
        <v>168</v>
      </c>
      <c r="N58" s="123" t="s">
        <v>272</v>
      </c>
      <c r="O58" s="166"/>
      <c r="P58" s="158">
        <v>3</v>
      </c>
      <c r="Q58" s="158">
        <v>22</v>
      </c>
      <c r="R58" s="158" t="s">
        <v>439</v>
      </c>
      <c r="S58" s="158" t="s">
        <v>454</v>
      </c>
      <c r="T58" s="158">
        <v>8</v>
      </c>
      <c r="U58" s="158" t="s">
        <v>439</v>
      </c>
      <c r="V58" s="158" t="s">
        <v>440</v>
      </c>
      <c r="W58" s="158" t="s">
        <v>444</v>
      </c>
      <c r="X58" s="159" t="s">
        <v>438</v>
      </c>
      <c r="Z58" s="175" t="s">
        <v>283</v>
      </c>
      <c r="AA58" s="196">
        <v>12</v>
      </c>
      <c r="AB58" s="216" t="s">
        <v>543</v>
      </c>
      <c r="AD58" s="165"/>
      <c r="AE58" s="165"/>
    </row>
    <row r="59" spans="2:31" ht="14.25" customHeight="1" x14ac:dyDescent="0.3">
      <c r="B59" s="135">
        <v>750</v>
      </c>
      <c r="C59" s="144">
        <v>375</v>
      </c>
      <c r="D59" s="13"/>
      <c r="E59" s="6"/>
      <c r="F59" s="6"/>
      <c r="G59" s="6"/>
      <c r="H59" s="6"/>
      <c r="I59" s="6"/>
      <c r="J59" s="6"/>
      <c r="M59" s="160">
        <v>100</v>
      </c>
      <c r="N59" s="147" t="s">
        <v>274</v>
      </c>
      <c r="O59" s="166"/>
      <c r="P59" s="158">
        <v>3</v>
      </c>
      <c r="Q59" s="158">
        <v>30</v>
      </c>
      <c r="R59" s="158" t="s">
        <v>439</v>
      </c>
      <c r="S59" s="158" t="s">
        <v>454</v>
      </c>
      <c r="T59" s="158">
        <v>8</v>
      </c>
      <c r="U59" s="158" t="s">
        <v>439</v>
      </c>
      <c r="V59" s="158" t="s">
        <v>440</v>
      </c>
      <c r="W59" s="158" t="s">
        <v>445</v>
      </c>
      <c r="X59" s="159" t="s">
        <v>438</v>
      </c>
      <c r="Z59" s="174" t="s">
        <v>285</v>
      </c>
      <c r="AA59" s="196">
        <v>13</v>
      </c>
      <c r="AB59" s="216" t="s">
        <v>543</v>
      </c>
    </row>
    <row r="60" spans="2:31" ht="14.25" customHeight="1" x14ac:dyDescent="0.3">
      <c r="B60" s="135">
        <v>800</v>
      </c>
      <c r="C60" s="144">
        <v>400</v>
      </c>
      <c r="D60" s="13"/>
      <c r="E60" s="6"/>
      <c r="F60" s="6"/>
      <c r="G60" s="6"/>
      <c r="H60" s="6"/>
      <c r="I60" s="6"/>
      <c r="J60" s="6"/>
      <c r="M60" s="156">
        <v>125</v>
      </c>
      <c r="N60" s="123" t="s">
        <v>276</v>
      </c>
      <c r="O60" s="166"/>
      <c r="P60" s="158">
        <v>3</v>
      </c>
      <c r="Q60" s="158">
        <v>50</v>
      </c>
      <c r="R60" s="158" t="s">
        <v>439</v>
      </c>
      <c r="S60" s="158" t="s">
        <v>454</v>
      </c>
      <c r="T60" s="158">
        <v>14</v>
      </c>
      <c r="U60" s="158" t="s">
        <v>439</v>
      </c>
      <c r="V60" s="158" t="s">
        <v>440</v>
      </c>
      <c r="W60" s="158" t="s">
        <v>445</v>
      </c>
      <c r="X60" s="159" t="s">
        <v>438</v>
      </c>
      <c r="Z60" s="175" t="s">
        <v>287</v>
      </c>
      <c r="AA60" s="196">
        <v>15</v>
      </c>
      <c r="AB60" s="216" t="s">
        <v>543</v>
      </c>
    </row>
    <row r="61" spans="2:31" ht="14.25" customHeight="1" thickBot="1" x14ac:dyDescent="0.35">
      <c r="B61" s="135">
        <v>900</v>
      </c>
      <c r="C61" s="144">
        <v>450</v>
      </c>
      <c r="D61" s="13"/>
      <c r="E61" s="6"/>
      <c r="F61" s="6"/>
      <c r="G61" s="6"/>
      <c r="H61" s="6"/>
      <c r="I61" s="6"/>
      <c r="J61" s="6"/>
      <c r="M61" s="160">
        <v>150</v>
      </c>
      <c r="N61" s="147" t="s">
        <v>278</v>
      </c>
      <c r="O61" s="166"/>
      <c r="P61" s="158">
        <v>3</v>
      </c>
      <c r="Q61" s="158">
        <v>60</v>
      </c>
      <c r="R61" s="158" t="s">
        <v>439</v>
      </c>
      <c r="S61" s="158" t="s">
        <v>454</v>
      </c>
      <c r="T61" s="158">
        <v>14</v>
      </c>
      <c r="U61" s="158" t="s">
        <v>439</v>
      </c>
      <c r="V61" s="158" t="s">
        <v>440</v>
      </c>
      <c r="W61" s="158" t="s">
        <v>445</v>
      </c>
      <c r="X61" s="159" t="s">
        <v>438</v>
      </c>
      <c r="Z61" s="176" t="s">
        <v>289</v>
      </c>
      <c r="AA61" s="197">
        <v>16</v>
      </c>
      <c r="AB61" s="217" t="s">
        <v>543</v>
      </c>
    </row>
    <row r="62" spans="2:31" ht="14.25" customHeight="1" x14ac:dyDescent="0.3">
      <c r="B62" s="135">
        <v>1000</v>
      </c>
      <c r="C62" s="144">
        <v>500</v>
      </c>
      <c r="D62" s="13"/>
      <c r="E62" s="6"/>
      <c r="F62" s="6"/>
      <c r="G62" s="6"/>
      <c r="H62" s="6"/>
      <c r="I62" s="6"/>
      <c r="J62" s="6"/>
      <c r="M62" s="156">
        <v>200</v>
      </c>
      <c r="N62" s="123" t="s">
        <v>279</v>
      </c>
      <c r="O62" s="166"/>
      <c r="P62" s="158">
        <v>3</v>
      </c>
      <c r="Q62" s="158">
        <v>80</v>
      </c>
      <c r="R62" s="158" t="s">
        <v>439</v>
      </c>
      <c r="S62" s="158" t="s">
        <v>454</v>
      </c>
      <c r="T62" s="158">
        <v>22</v>
      </c>
      <c r="U62" s="158" t="s">
        <v>439</v>
      </c>
      <c r="V62" s="158" t="s">
        <v>440</v>
      </c>
      <c r="W62" s="158" t="s">
        <v>445</v>
      </c>
      <c r="X62" s="159" t="s">
        <v>438</v>
      </c>
      <c r="Z62" s="173" t="s">
        <v>292</v>
      </c>
      <c r="AA62" s="195">
        <v>1</v>
      </c>
      <c r="AB62" s="215" t="s">
        <v>543</v>
      </c>
    </row>
    <row r="63" spans="2:31" ht="14.25" customHeight="1" x14ac:dyDescent="0.3">
      <c r="B63" s="135">
        <v>1250</v>
      </c>
      <c r="C63" s="144">
        <v>625</v>
      </c>
      <c r="D63" s="13"/>
      <c r="E63" s="6"/>
      <c r="F63" s="6"/>
      <c r="G63" s="6"/>
      <c r="H63" s="6"/>
      <c r="I63" s="6"/>
      <c r="J63" s="6"/>
      <c r="M63" s="160">
        <v>225</v>
      </c>
      <c r="N63" s="147" t="s">
        <v>281</v>
      </c>
      <c r="O63" s="166"/>
      <c r="P63" s="158">
        <v>3</v>
      </c>
      <c r="Q63" s="158">
        <v>100</v>
      </c>
      <c r="R63" s="158" t="s">
        <v>439</v>
      </c>
      <c r="S63" s="158" t="s">
        <v>454</v>
      </c>
      <c r="T63" s="158">
        <v>30</v>
      </c>
      <c r="U63" s="158" t="s">
        <v>439</v>
      </c>
      <c r="V63" s="158" t="s">
        <v>440</v>
      </c>
      <c r="W63" s="158" t="s">
        <v>455</v>
      </c>
      <c r="X63" s="159"/>
      <c r="Z63" s="174" t="s">
        <v>294</v>
      </c>
      <c r="AA63" s="196">
        <v>2</v>
      </c>
      <c r="AB63" s="216" t="s">
        <v>543</v>
      </c>
    </row>
    <row r="64" spans="2:31" ht="14.25" customHeight="1" x14ac:dyDescent="0.3">
      <c r="B64" s="135">
        <v>1500</v>
      </c>
      <c r="C64" s="144">
        <v>750</v>
      </c>
      <c r="D64" s="13"/>
      <c r="E64" s="6"/>
      <c r="F64" s="6"/>
      <c r="G64" s="6"/>
      <c r="H64" s="6"/>
      <c r="I64" s="6"/>
      <c r="J64" s="6"/>
      <c r="M64" s="156">
        <v>250</v>
      </c>
      <c r="N64" s="123" t="s">
        <v>283</v>
      </c>
      <c r="O64" s="166"/>
      <c r="P64" s="158">
        <v>3</v>
      </c>
      <c r="Q64" s="158">
        <v>125</v>
      </c>
      <c r="R64" s="158" t="s">
        <v>439</v>
      </c>
      <c r="S64" s="158" t="s">
        <v>454</v>
      </c>
      <c r="T64" s="158">
        <v>30</v>
      </c>
      <c r="U64" s="158" t="s">
        <v>439</v>
      </c>
      <c r="V64" s="158" t="s">
        <v>440</v>
      </c>
      <c r="W64" s="158" t="s">
        <v>455</v>
      </c>
      <c r="X64" s="159"/>
      <c r="Z64" s="175" t="s">
        <v>296</v>
      </c>
      <c r="AA64" s="196">
        <v>3</v>
      </c>
      <c r="AB64" s="216" t="s">
        <v>543</v>
      </c>
    </row>
    <row r="65" spans="2:33" ht="14.25" customHeight="1" x14ac:dyDescent="0.3">
      <c r="B65" s="135">
        <v>1750</v>
      </c>
      <c r="C65" s="144">
        <v>875</v>
      </c>
      <c r="D65" s="13"/>
      <c r="E65" s="6"/>
      <c r="F65" s="6"/>
      <c r="G65" s="6"/>
      <c r="H65" s="6"/>
      <c r="I65" s="6"/>
      <c r="J65" s="6"/>
      <c r="M65" s="160">
        <v>275</v>
      </c>
      <c r="N65" s="147" t="s">
        <v>285</v>
      </c>
      <c r="O65" s="166"/>
      <c r="P65" s="158">
        <v>3</v>
      </c>
      <c r="Q65" s="158">
        <v>150</v>
      </c>
      <c r="R65" s="158" t="s">
        <v>439</v>
      </c>
      <c r="S65" s="158" t="s">
        <v>454</v>
      </c>
      <c r="T65" s="158">
        <v>30</v>
      </c>
      <c r="U65" s="158" t="s">
        <v>439</v>
      </c>
      <c r="V65" s="158" t="s">
        <v>440</v>
      </c>
      <c r="W65" s="158" t="s">
        <v>455</v>
      </c>
      <c r="X65" s="159"/>
      <c r="Z65" s="174" t="s">
        <v>298</v>
      </c>
      <c r="AA65" s="196">
        <v>4</v>
      </c>
      <c r="AB65" s="216" t="s">
        <v>543</v>
      </c>
    </row>
    <row r="66" spans="2:33" ht="14.25" customHeight="1" thickBot="1" x14ac:dyDescent="0.35">
      <c r="B66" s="141">
        <v>2000</v>
      </c>
      <c r="C66" s="146">
        <v>1000</v>
      </c>
      <c r="D66" s="41"/>
      <c r="E66" s="6"/>
      <c r="F66" s="6"/>
      <c r="G66" s="6"/>
      <c r="H66" s="6"/>
      <c r="I66" s="6"/>
      <c r="J66" s="6"/>
      <c r="M66" s="156">
        <v>300</v>
      </c>
      <c r="N66" s="123" t="s">
        <v>287</v>
      </c>
      <c r="O66" s="166"/>
      <c r="P66" s="158">
        <v>3</v>
      </c>
      <c r="Q66" s="158">
        <v>200</v>
      </c>
      <c r="R66" s="158" t="s">
        <v>439</v>
      </c>
      <c r="S66" s="158" t="s">
        <v>454</v>
      </c>
      <c r="T66" s="158">
        <v>30</v>
      </c>
      <c r="U66" s="158" t="s">
        <v>439</v>
      </c>
      <c r="V66" s="158" t="s">
        <v>440</v>
      </c>
      <c r="W66" s="158" t="s">
        <v>455</v>
      </c>
      <c r="X66" s="159"/>
      <c r="Z66" s="175" t="s">
        <v>300</v>
      </c>
      <c r="AA66" s="196">
        <v>5</v>
      </c>
      <c r="AB66" s="216" t="s">
        <v>543</v>
      </c>
    </row>
    <row r="67" spans="2:33" ht="14.25" customHeight="1" thickBot="1" x14ac:dyDescent="0.35">
      <c r="B67" s="6"/>
      <c r="C67" s="6"/>
      <c r="D67" s="6"/>
      <c r="E67" s="6"/>
      <c r="F67" s="6"/>
      <c r="G67" s="6"/>
      <c r="H67" s="6"/>
      <c r="I67" s="6"/>
      <c r="J67" s="6"/>
      <c r="M67" s="161">
        <v>400</v>
      </c>
      <c r="N67" s="162" t="s">
        <v>289</v>
      </c>
      <c r="O67" s="163"/>
      <c r="P67" s="163">
        <v>3</v>
      </c>
      <c r="Q67" s="163">
        <v>250</v>
      </c>
      <c r="R67" s="163" t="s">
        <v>439</v>
      </c>
      <c r="S67" s="163" t="s">
        <v>454</v>
      </c>
      <c r="T67" s="163">
        <v>50</v>
      </c>
      <c r="U67" s="163" t="s">
        <v>439</v>
      </c>
      <c r="V67" s="163" t="s">
        <v>440</v>
      </c>
      <c r="W67" s="163" t="s">
        <v>455</v>
      </c>
      <c r="X67" s="164"/>
      <c r="Z67" s="174" t="s">
        <v>302</v>
      </c>
      <c r="AA67" s="196">
        <v>6</v>
      </c>
      <c r="AB67" s="216" t="s">
        <v>543</v>
      </c>
    </row>
    <row r="68" spans="2:33" ht="14.25" customHeight="1" thickBot="1" x14ac:dyDescent="0.35">
      <c r="B68" s="6"/>
      <c r="C68" s="6"/>
      <c r="D68" s="6"/>
      <c r="E68" s="6"/>
      <c r="F68" s="6"/>
      <c r="G68" s="6"/>
      <c r="H68" s="6"/>
      <c r="I68" s="6"/>
      <c r="J68" s="6"/>
      <c r="M68" s="6"/>
      <c r="N68" s="6"/>
      <c r="P68" s="133"/>
      <c r="Q68" s="133"/>
      <c r="R68" s="133"/>
      <c r="S68" s="133"/>
      <c r="T68" s="133"/>
      <c r="U68" s="133"/>
      <c r="V68" s="133"/>
      <c r="W68" s="133"/>
      <c r="X68" s="133"/>
      <c r="Z68" s="175" t="s">
        <v>304</v>
      </c>
      <c r="AA68" s="196">
        <v>8</v>
      </c>
      <c r="AB68" s="216" t="s">
        <v>543</v>
      </c>
    </row>
    <row r="69" spans="2:33" ht="14.25" customHeight="1" x14ac:dyDescent="0.3">
      <c r="B69" s="6"/>
      <c r="C69" s="6"/>
      <c r="D69" s="6"/>
      <c r="E69" s="6"/>
      <c r="F69" s="6"/>
      <c r="G69" s="6"/>
      <c r="H69" s="6"/>
      <c r="I69" s="6"/>
      <c r="J69" s="6"/>
      <c r="M69" s="167" t="s">
        <v>291</v>
      </c>
      <c r="N69" s="168"/>
      <c r="O69" s="169"/>
      <c r="P69" s="169"/>
      <c r="Q69" s="169"/>
      <c r="R69" s="169"/>
      <c r="S69" s="169"/>
      <c r="T69" s="169"/>
      <c r="U69" s="169"/>
      <c r="V69" s="169"/>
      <c r="W69" s="169"/>
      <c r="X69" s="170"/>
      <c r="Z69" s="174" t="s">
        <v>306</v>
      </c>
      <c r="AA69" s="196">
        <v>9</v>
      </c>
      <c r="AB69" s="216" t="s">
        <v>543</v>
      </c>
    </row>
    <row r="70" spans="2:33" ht="14.25" customHeight="1" x14ac:dyDescent="0.3">
      <c r="M70" s="156">
        <v>20</v>
      </c>
      <c r="N70" s="123" t="s">
        <v>292</v>
      </c>
      <c r="O70" s="166"/>
      <c r="P70" s="158">
        <v>4</v>
      </c>
      <c r="Q70" s="158">
        <v>2</v>
      </c>
      <c r="R70" s="158" t="s">
        <v>435</v>
      </c>
      <c r="S70" s="158" t="s">
        <v>454</v>
      </c>
      <c r="T70" s="158">
        <v>2</v>
      </c>
      <c r="U70" s="158" t="s">
        <v>435</v>
      </c>
      <c r="V70" s="158" t="s">
        <v>440</v>
      </c>
      <c r="W70" s="158" t="s">
        <v>443</v>
      </c>
      <c r="X70" s="159" t="s">
        <v>438</v>
      </c>
      <c r="Z70" s="175" t="s">
        <v>307</v>
      </c>
      <c r="AA70" s="196">
        <v>10</v>
      </c>
      <c r="AB70" s="216" t="s">
        <v>543</v>
      </c>
    </row>
    <row r="71" spans="2:33" ht="14.25" customHeight="1" x14ac:dyDescent="0.3">
      <c r="M71" s="160">
        <v>30</v>
      </c>
      <c r="N71" s="147" t="s">
        <v>294</v>
      </c>
      <c r="O71" s="166"/>
      <c r="P71" s="158">
        <v>4</v>
      </c>
      <c r="Q71" s="158">
        <v>5.5</v>
      </c>
      <c r="R71" s="158" t="s">
        <v>439</v>
      </c>
      <c r="S71" s="158" t="s">
        <v>454</v>
      </c>
      <c r="T71" s="158">
        <v>5.5</v>
      </c>
      <c r="U71" s="158" t="s">
        <v>439</v>
      </c>
      <c r="V71" s="158" t="s">
        <v>440</v>
      </c>
      <c r="W71" s="158" t="s">
        <v>444</v>
      </c>
      <c r="X71" s="159" t="s">
        <v>438</v>
      </c>
      <c r="Z71" s="174" t="s">
        <v>309</v>
      </c>
      <c r="AA71" s="196">
        <v>11</v>
      </c>
      <c r="AB71" s="216" t="s">
        <v>543</v>
      </c>
    </row>
    <row r="72" spans="2:33" ht="14.25" customHeight="1" x14ac:dyDescent="0.3">
      <c r="M72" s="156">
        <v>40</v>
      </c>
      <c r="N72" s="123" t="s">
        <v>296</v>
      </c>
      <c r="O72" s="166"/>
      <c r="P72" s="158">
        <v>4</v>
      </c>
      <c r="Q72" s="158">
        <v>8</v>
      </c>
      <c r="R72" s="158" t="s">
        <v>439</v>
      </c>
      <c r="S72" s="158" t="s">
        <v>454</v>
      </c>
      <c r="T72" s="158">
        <v>5.5</v>
      </c>
      <c r="U72" s="158" t="s">
        <v>439</v>
      </c>
      <c r="V72" s="158" t="s">
        <v>440</v>
      </c>
      <c r="W72" s="158" t="s">
        <v>444</v>
      </c>
      <c r="X72" s="159" t="s">
        <v>438</v>
      </c>
      <c r="Z72" s="175" t="s">
        <v>311</v>
      </c>
      <c r="AA72" s="196">
        <v>12</v>
      </c>
      <c r="AB72" s="216" t="s">
        <v>543</v>
      </c>
      <c r="AC72" s="6"/>
      <c r="AD72" s="6"/>
      <c r="AE72" s="6"/>
      <c r="AF72" s="6"/>
      <c r="AG72" s="6"/>
    </row>
    <row r="73" spans="2:33" ht="14.25" customHeight="1" x14ac:dyDescent="0.3">
      <c r="M73" s="160" t="s">
        <v>165</v>
      </c>
      <c r="N73" s="147" t="s">
        <v>298</v>
      </c>
      <c r="O73" s="166"/>
      <c r="P73" s="158">
        <v>4</v>
      </c>
      <c r="Q73" s="158">
        <v>14</v>
      </c>
      <c r="R73" s="158" t="s">
        <v>439</v>
      </c>
      <c r="S73" s="158" t="s">
        <v>454</v>
      </c>
      <c r="T73" s="158">
        <v>8</v>
      </c>
      <c r="U73" s="158" t="s">
        <v>439</v>
      </c>
      <c r="V73" s="158" t="s">
        <v>440</v>
      </c>
      <c r="W73" s="158" t="s">
        <v>444</v>
      </c>
      <c r="X73" s="159" t="s">
        <v>438</v>
      </c>
      <c r="Z73" s="174" t="s">
        <v>313</v>
      </c>
      <c r="AA73" s="196">
        <v>13</v>
      </c>
      <c r="AB73" s="216" t="s">
        <v>543</v>
      </c>
    </row>
    <row r="74" spans="2:33" ht="14.25" customHeight="1" x14ac:dyDescent="0.3">
      <c r="M74" s="156" t="s">
        <v>168</v>
      </c>
      <c r="N74" s="123" t="s">
        <v>300</v>
      </c>
      <c r="O74" s="166"/>
      <c r="P74" s="158">
        <v>4</v>
      </c>
      <c r="Q74" s="158">
        <v>22</v>
      </c>
      <c r="R74" s="158" t="s">
        <v>439</v>
      </c>
      <c r="S74" s="158" t="s">
        <v>454</v>
      </c>
      <c r="T74" s="158">
        <v>8</v>
      </c>
      <c r="U74" s="158" t="s">
        <v>439</v>
      </c>
      <c r="V74" s="158" t="s">
        <v>440</v>
      </c>
      <c r="W74" s="158" t="s">
        <v>444</v>
      </c>
      <c r="X74" s="159" t="s">
        <v>438</v>
      </c>
      <c r="Z74" s="175" t="s">
        <v>315</v>
      </c>
      <c r="AA74" s="196">
        <v>15</v>
      </c>
      <c r="AB74" s="216" t="s">
        <v>543</v>
      </c>
    </row>
    <row r="75" spans="2:33" ht="14.25" customHeight="1" thickBot="1" x14ac:dyDescent="0.35">
      <c r="M75" s="160">
        <v>100</v>
      </c>
      <c r="N75" s="147" t="s">
        <v>302</v>
      </c>
      <c r="O75" s="166"/>
      <c r="P75" s="158">
        <v>4</v>
      </c>
      <c r="Q75" s="158">
        <v>30</v>
      </c>
      <c r="R75" s="158" t="s">
        <v>439</v>
      </c>
      <c r="S75" s="158" t="s">
        <v>454</v>
      </c>
      <c r="T75" s="158">
        <v>8</v>
      </c>
      <c r="U75" s="158" t="s">
        <v>439</v>
      </c>
      <c r="V75" s="158" t="s">
        <v>440</v>
      </c>
      <c r="W75" s="158" t="s">
        <v>445</v>
      </c>
      <c r="X75" s="159" t="s">
        <v>438</v>
      </c>
      <c r="Z75" s="176" t="s">
        <v>317</v>
      </c>
      <c r="AA75" s="197">
        <v>16</v>
      </c>
      <c r="AB75" s="217" t="s">
        <v>543</v>
      </c>
    </row>
    <row r="76" spans="2:33" ht="14.25" customHeight="1" x14ac:dyDescent="0.3">
      <c r="M76" s="156">
        <v>125</v>
      </c>
      <c r="N76" s="123" t="s">
        <v>304</v>
      </c>
      <c r="O76" s="166"/>
      <c r="P76" s="158">
        <v>4</v>
      </c>
      <c r="Q76" s="158">
        <v>50</v>
      </c>
      <c r="R76" s="158" t="s">
        <v>439</v>
      </c>
      <c r="S76" s="158" t="s">
        <v>454</v>
      </c>
      <c r="T76" s="158">
        <v>14</v>
      </c>
      <c r="U76" s="158" t="s">
        <v>439</v>
      </c>
      <c r="V76" s="158" t="s">
        <v>440</v>
      </c>
      <c r="W76" s="158" t="s">
        <v>445</v>
      </c>
      <c r="X76" s="159" t="s">
        <v>438</v>
      </c>
      <c r="Z76" s="173" t="s">
        <v>320</v>
      </c>
      <c r="AA76" s="195">
        <v>11</v>
      </c>
      <c r="AB76" s="215" t="s">
        <v>544</v>
      </c>
    </row>
    <row r="77" spans="2:33" ht="14.25" customHeight="1" x14ac:dyDescent="0.3">
      <c r="M77" s="160">
        <v>150</v>
      </c>
      <c r="N77" s="147" t="s">
        <v>306</v>
      </c>
      <c r="O77" s="166"/>
      <c r="P77" s="158">
        <v>4</v>
      </c>
      <c r="Q77" s="158">
        <v>60</v>
      </c>
      <c r="R77" s="158" t="s">
        <v>439</v>
      </c>
      <c r="S77" s="158" t="s">
        <v>454</v>
      </c>
      <c r="T77" s="158">
        <v>14</v>
      </c>
      <c r="U77" s="158" t="s">
        <v>439</v>
      </c>
      <c r="V77" s="158" t="s">
        <v>440</v>
      </c>
      <c r="W77" s="158" t="s">
        <v>445</v>
      </c>
      <c r="X77" s="159" t="s">
        <v>438</v>
      </c>
      <c r="Z77" s="174" t="s">
        <v>323</v>
      </c>
      <c r="AA77" s="196">
        <v>12</v>
      </c>
      <c r="AB77" s="216" t="s">
        <v>544</v>
      </c>
    </row>
    <row r="78" spans="2:33" ht="14.25" customHeight="1" x14ac:dyDescent="0.3">
      <c r="M78" s="156">
        <v>200</v>
      </c>
      <c r="N78" s="123" t="s">
        <v>307</v>
      </c>
      <c r="O78" s="166"/>
      <c r="P78" s="158">
        <v>4</v>
      </c>
      <c r="Q78" s="158">
        <v>80</v>
      </c>
      <c r="R78" s="158" t="s">
        <v>439</v>
      </c>
      <c r="S78" s="158" t="s">
        <v>454</v>
      </c>
      <c r="T78" s="158">
        <v>22</v>
      </c>
      <c r="U78" s="158" t="s">
        <v>439</v>
      </c>
      <c r="V78" s="158" t="s">
        <v>440</v>
      </c>
      <c r="W78" s="158" t="s">
        <v>445</v>
      </c>
      <c r="X78" s="159" t="s">
        <v>438</v>
      </c>
      <c r="Z78" s="175" t="s">
        <v>325</v>
      </c>
      <c r="AA78" s="196">
        <v>13</v>
      </c>
      <c r="AB78" s="216" t="s">
        <v>544</v>
      </c>
    </row>
    <row r="79" spans="2:33" ht="14.25" customHeight="1" x14ac:dyDescent="0.3">
      <c r="M79" s="160">
        <v>225</v>
      </c>
      <c r="N79" s="147" t="s">
        <v>309</v>
      </c>
      <c r="O79" s="166"/>
      <c r="P79" s="158">
        <v>4</v>
      </c>
      <c r="Q79" s="158">
        <v>100</v>
      </c>
      <c r="R79" s="158" t="s">
        <v>439</v>
      </c>
      <c r="S79" s="158" t="s">
        <v>454</v>
      </c>
      <c r="T79" s="158">
        <v>30</v>
      </c>
      <c r="U79" s="158" t="s">
        <v>439</v>
      </c>
      <c r="V79" s="158" t="s">
        <v>440</v>
      </c>
      <c r="W79" s="158" t="s">
        <v>455</v>
      </c>
      <c r="X79" s="159"/>
      <c r="Z79" s="174" t="s">
        <v>328</v>
      </c>
      <c r="AA79" s="196">
        <v>15</v>
      </c>
      <c r="AB79" s="216" t="s">
        <v>544</v>
      </c>
    </row>
    <row r="80" spans="2:33" ht="14.25" customHeight="1" x14ac:dyDescent="0.3">
      <c r="M80" s="156">
        <v>250</v>
      </c>
      <c r="N80" s="123" t="s">
        <v>311</v>
      </c>
      <c r="O80" s="166"/>
      <c r="P80" s="158">
        <v>4</v>
      </c>
      <c r="Q80" s="158">
        <v>125</v>
      </c>
      <c r="R80" s="158" t="s">
        <v>439</v>
      </c>
      <c r="S80" s="158" t="s">
        <v>454</v>
      </c>
      <c r="T80" s="158">
        <v>30</v>
      </c>
      <c r="U80" s="158" t="s">
        <v>439</v>
      </c>
      <c r="V80" s="158" t="s">
        <v>440</v>
      </c>
      <c r="W80" s="158" t="s">
        <v>455</v>
      </c>
      <c r="X80" s="159"/>
      <c r="Z80" s="175" t="s">
        <v>331</v>
      </c>
      <c r="AA80" s="196">
        <v>16</v>
      </c>
      <c r="AB80" s="216" t="s">
        <v>544</v>
      </c>
    </row>
    <row r="81" spans="13:28" ht="14.25" customHeight="1" x14ac:dyDescent="0.3">
      <c r="M81" s="160">
        <v>275</v>
      </c>
      <c r="N81" s="147" t="s">
        <v>313</v>
      </c>
      <c r="O81" s="166"/>
      <c r="P81" s="158">
        <v>4</v>
      </c>
      <c r="Q81" s="158">
        <v>150</v>
      </c>
      <c r="R81" s="158" t="s">
        <v>439</v>
      </c>
      <c r="S81" s="158" t="s">
        <v>454</v>
      </c>
      <c r="T81" s="158">
        <v>30</v>
      </c>
      <c r="U81" s="158" t="s">
        <v>439</v>
      </c>
      <c r="V81" s="158" t="s">
        <v>440</v>
      </c>
      <c r="W81" s="158" t="s">
        <v>455</v>
      </c>
      <c r="X81" s="159"/>
      <c r="Z81" s="174" t="s">
        <v>333</v>
      </c>
      <c r="AA81" s="196">
        <v>17</v>
      </c>
      <c r="AB81" s="216" t="s">
        <v>544</v>
      </c>
    </row>
    <row r="82" spans="13:28" ht="14.25" customHeight="1" x14ac:dyDescent="0.3">
      <c r="M82" s="156">
        <v>300</v>
      </c>
      <c r="N82" s="123" t="s">
        <v>315</v>
      </c>
      <c r="O82" s="166"/>
      <c r="P82" s="158">
        <v>4</v>
      </c>
      <c r="Q82" s="158">
        <v>200</v>
      </c>
      <c r="R82" s="158" t="s">
        <v>439</v>
      </c>
      <c r="S82" s="158" t="s">
        <v>454</v>
      </c>
      <c r="T82" s="158">
        <v>30</v>
      </c>
      <c r="U82" s="158" t="s">
        <v>439</v>
      </c>
      <c r="V82" s="158" t="s">
        <v>440</v>
      </c>
      <c r="W82" s="158" t="s">
        <v>455</v>
      </c>
      <c r="X82" s="159"/>
      <c r="Z82" s="175" t="s">
        <v>335</v>
      </c>
      <c r="AA82" s="196">
        <v>15</v>
      </c>
      <c r="AB82" s="216" t="s">
        <v>544</v>
      </c>
    </row>
    <row r="83" spans="13:28" ht="14.25" customHeight="1" thickBot="1" x14ac:dyDescent="0.35">
      <c r="M83" s="161">
        <v>400</v>
      </c>
      <c r="N83" s="162" t="s">
        <v>317</v>
      </c>
      <c r="O83" s="163"/>
      <c r="P83" s="163">
        <v>4</v>
      </c>
      <c r="Q83" s="163">
        <v>250</v>
      </c>
      <c r="R83" s="163" t="s">
        <v>439</v>
      </c>
      <c r="S83" s="163" t="s">
        <v>454</v>
      </c>
      <c r="T83" s="163">
        <v>50</v>
      </c>
      <c r="U83" s="163" t="s">
        <v>439</v>
      </c>
      <c r="V83" s="163" t="s">
        <v>440</v>
      </c>
      <c r="W83" s="163" t="s">
        <v>455</v>
      </c>
      <c r="X83" s="164"/>
      <c r="Z83" s="176" t="s">
        <v>338</v>
      </c>
      <c r="AA83" s="197">
        <v>17</v>
      </c>
      <c r="AB83" s="217" t="s">
        <v>544</v>
      </c>
    </row>
    <row r="84" spans="13:28" ht="14.25" customHeight="1" thickBot="1" x14ac:dyDescent="0.35">
      <c r="M84" s="6"/>
      <c r="N84" s="6"/>
      <c r="P84" s="133"/>
      <c r="Q84" s="133"/>
      <c r="R84" s="133"/>
      <c r="S84" s="133"/>
      <c r="T84" s="133"/>
      <c r="U84" s="133"/>
      <c r="V84" s="133"/>
      <c r="W84" s="133"/>
      <c r="X84" s="133"/>
      <c r="Z84" s="173" t="s">
        <v>341</v>
      </c>
      <c r="AA84" s="195">
        <v>11</v>
      </c>
      <c r="AB84" s="215" t="s">
        <v>544</v>
      </c>
    </row>
    <row r="85" spans="13:28" ht="14.25" customHeight="1" x14ac:dyDescent="0.3">
      <c r="M85" s="152" t="s">
        <v>319</v>
      </c>
      <c r="N85" s="153"/>
      <c r="O85" s="154"/>
      <c r="P85" s="154"/>
      <c r="Q85" s="154"/>
      <c r="R85" s="154"/>
      <c r="S85" s="154"/>
      <c r="T85" s="154"/>
      <c r="U85" s="154"/>
      <c r="V85" s="154"/>
      <c r="W85" s="154"/>
      <c r="X85" s="155"/>
      <c r="Z85" s="174" t="s">
        <v>343</v>
      </c>
      <c r="AA85" s="196">
        <v>12</v>
      </c>
      <c r="AB85" s="216" t="s">
        <v>544</v>
      </c>
    </row>
    <row r="86" spans="13:28" ht="14.25" customHeight="1" x14ac:dyDescent="0.3">
      <c r="M86" s="156">
        <v>125</v>
      </c>
      <c r="N86" s="123" t="s">
        <v>320</v>
      </c>
      <c r="O86" s="166"/>
      <c r="P86" s="158">
        <v>3</v>
      </c>
      <c r="Q86" s="158">
        <v>100</v>
      </c>
      <c r="R86" s="158" t="s">
        <v>439</v>
      </c>
      <c r="S86" s="158" t="s">
        <v>436</v>
      </c>
      <c r="T86" s="158">
        <v>30</v>
      </c>
      <c r="U86" s="158" t="s">
        <v>439</v>
      </c>
      <c r="V86" s="158" t="s">
        <v>436</v>
      </c>
      <c r="W86" s="158" t="s">
        <v>456</v>
      </c>
      <c r="X86" s="159" t="s">
        <v>438</v>
      </c>
      <c r="Z86" s="175" t="s">
        <v>345</v>
      </c>
      <c r="AA86" s="196">
        <v>13</v>
      </c>
      <c r="AB86" s="216" t="s">
        <v>544</v>
      </c>
    </row>
    <row r="87" spans="13:28" ht="14.25" customHeight="1" x14ac:dyDescent="0.3">
      <c r="M87" s="160">
        <v>150</v>
      </c>
      <c r="N87" s="147" t="s">
        <v>323</v>
      </c>
      <c r="O87" s="166"/>
      <c r="P87" s="158">
        <v>3</v>
      </c>
      <c r="Q87" s="158">
        <v>125</v>
      </c>
      <c r="R87" s="158" t="s">
        <v>439</v>
      </c>
      <c r="S87" s="158" t="s">
        <v>436</v>
      </c>
      <c r="T87" s="158">
        <v>50</v>
      </c>
      <c r="U87" s="158" t="s">
        <v>439</v>
      </c>
      <c r="V87" s="158" t="s">
        <v>436</v>
      </c>
      <c r="W87" s="158" t="s">
        <v>456</v>
      </c>
      <c r="X87" s="159" t="s">
        <v>438</v>
      </c>
      <c r="Z87" s="174" t="s">
        <v>347</v>
      </c>
      <c r="AA87" s="196">
        <v>15</v>
      </c>
      <c r="AB87" s="216" t="s">
        <v>544</v>
      </c>
    </row>
    <row r="88" spans="13:28" ht="14.25" customHeight="1" x14ac:dyDescent="0.3">
      <c r="M88" s="156">
        <v>175</v>
      </c>
      <c r="N88" s="123" t="s">
        <v>325</v>
      </c>
      <c r="O88" s="166"/>
      <c r="P88" s="158">
        <v>3</v>
      </c>
      <c r="Q88" s="158">
        <v>150</v>
      </c>
      <c r="R88" s="158" t="s">
        <v>439</v>
      </c>
      <c r="S88" s="158" t="s">
        <v>436</v>
      </c>
      <c r="T88" s="158">
        <v>50</v>
      </c>
      <c r="U88" s="158" t="s">
        <v>439</v>
      </c>
      <c r="V88" s="158" t="s">
        <v>436</v>
      </c>
      <c r="W88" s="158" t="s">
        <v>457</v>
      </c>
      <c r="X88" s="159" t="s">
        <v>438</v>
      </c>
      <c r="Z88" s="175" t="s">
        <v>349</v>
      </c>
      <c r="AA88" s="196">
        <v>16</v>
      </c>
      <c r="AB88" s="216" t="s">
        <v>544</v>
      </c>
    </row>
    <row r="89" spans="13:28" ht="14.25" customHeight="1" x14ac:dyDescent="0.3">
      <c r="M89" s="160">
        <v>200</v>
      </c>
      <c r="N89" s="147" t="s">
        <v>328</v>
      </c>
      <c r="O89" s="166"/>
      <c r="P89" s="158">
        <v>3</v>
      </c>
      <c r="Q89" s="158">
        <v>200</v>
      </c>
      <c r="R89" s="158" t="s">
        <v>439</v>
      </c>
      <c r="S89" s="158" t="s">
        <v>436</v>
      </c>
      <c r="T89" s="158">
        <v>60</v>
      </c>
      <c r="U89" s="158" t="s">
        <v>439</v>
      </c>
      <c r="V89" s="158" t="s">
        <v>436</v>
      </c>
      <c r="W89" s="158" t="s">
        <v>458</v>
      </c>
      <c r="X89" s="159" t="s">
        <v>438</v>
      </c>
      <c r="Z89" s="174" t="s">
        <v>351</v>
      </c>
      <c r="AA89" s="196">
        <v>17</v>
      </c>
      <c r="AB89" s="216" t="s">
        <v>544</v>
      </c>
    </row>
    <row r="90" spans="13:28" ht="14.25" customHeight="1" x14ac:dyDescent="0.3">
      <c r="M90" s="156">
        <v>250</v>
      </c>
      <c r="N90" s="123" t="s">
        <v>331</v>
      </c>
      <c r="O90" s="166"/>
      <c r="P90" s="158">
        <v>3</v>
      </c>
      <c r="Q90" s="158">
        <v>250</v>
      </c>
      <c r="R90" s="158" t="s">
        <v>439</v>
      </c>
      <c r="S90" s="158" t="s">
        <v>436</v>
      </c>
      <c r="T90" s="158">
        <v>80</v>
      </c>
      <c r="U90" s="158" t="s">
        <v>439</v>
      </c>
      <c r="V90" s="158" t="s">
        <v>436</v>
      </c>
      <c r="W90" s="158" t="s">
        <v>458</v>
      </c>
      <c r="X90" s="159" t="s">
        <v>438</v>
      </c>
      <c r="Z90" s="175" t="s">
        <v>353</v>
      </c>
      <c r="AA90" s="196">
        <v>15</v>
      </c>
      <c r="AB90" s="216" t="s">
        <v>544</v>
      </c>
    </row>
    <row r="91" spans="13:28" ht="14.25" customHeight="1" thickBot="1" x14ac:dyDescent="0.35">
      <c r="M91" s="160">
        <v>300</v>
      </c>
      <c r="N91" s="147" t="s">
        <v>333</v>
      </c>
      <c r="O91" s="166"/>
      <c r="P91" s="158">
        <v>3</v>
      </c>
      <c r="Q91" s="158">
        <v>325</v>
      </c>
      <c r="R91" s="158" t="s">
        <v>439</v>
      </c>
      <c r="S91" s="158" t="s">
        <v>436</v>
      </c>
      <c r="T91" s="158">
        <v>100</v>
      </c>
      <c r="U91" s="158" t="s">
        <v>439</v>
      </c>
      <c r="V91" s="158" t="s">
        <v>436</v>
      </c>
      <c r="W91" s="158" t="s">
        <v>458</v>
      </c>
      <c r="X91" s="159" t="s">
        <v>438</v>
      </c>
      <c r="Z91" s="176" t="s">
        <v>355</v>
      </c>
      <c r="AA91" s="197">
        <v>17</v>
      </c>
      <c r="AB91" s="217" t="s">
        <v>544</v>
      </c>
    </row>
    <row r="92" spans="13:28" ht="14.25" customHeight="1" x14ac:dyDescent="0.3">
      <c r="M92" s="156">
        <v>400</v>
      </c>
      <c r="N92" s="123" t="s">
        <v>335</v>
      </c>
      <c r="O92" s="166">
        <v>2</v>
      </c>
      <c r="P92" s="158">
        <v>3</v>
      </c>
      <c r="Q92" s="158">
        <v>125</v>
      </c>
      <c r="R92" s="158" t="s">
        <v>439</v>
      </c>
      <c r="S92" s="158" t="s">
        <v>436</v>
      </c>
      <c r="T92" s="158">
        <v>30</v>
      </c>
      <c r="U92" s="158" t="s">
        <v>439</v>
      </c>
      <c r="V92" s="158" t="s">
        <v>436</v>
      </c>
      <c r="W92" s="158" t="s">
        <v>458</v>
      </c>
      <c r="X92" s="159" t="s">
        <v>438</v>
      </c>
      <c r="Z92" s="173" t="s">
        <v>357</v>
      </c>
      <c r="AA92" s="195">
        <v>3</v>
      </c>
      <c r="AB92" s="215" t="s">
        <v>543</v>
      </c>
    </row>
    <row r="93" spans="13:28" ht="14.25" customHeight="1" thickBot="1" x14ac:dyDescent="0.35">
      <c r="M93" s="161">
        <v>600</v>
      </c>
      <c r="N93" s="162" t="s">
        <v>338</v>
      </c>
      <c r="O93" s="163">
        <v>3</v>
      </c>
      <c r="P93" s="163">
        <v>3</v>
      </c>
      <c r="Q93" s="163">
        <v>125</v>
      </c>
      <c r="R93" s="163" t="s">
        <v>439</v>
      </c>
      <c r="S93" s="163" t="s">
        <v>436</v>
      </c>
      <c r="T93" s="163">
        <v>30</v>
      </c>
      <c r="U93" s="163" t="s">
        <v>439</v>
      </c>
      <c r="V93" s="163" t="s">
        <v>436</v>
      </c>
      <c r="W93" s="163" t="s">
        <v>458</v>
      </c>
      <c r="X93" s="164" t="s">
        <v>438</v>
      </c>
      <c r="Z93" s="174" t="s">
        <v>359</v>
      </c>
      <c r="AA93" s="196">
        <v>4</v>
      </c>
      <c r="AB93" s="216" t="s">
        <v>543</v>
      </c>
    </row>
    <row r="94" spans="13:28" ht="14.25" customHeight="1" thickBot="1" x14ac:dyDescent="0.35">
      <c r="M94" s="6"/>
      <c r="N94" s="6"/>
      <c r="P94" s="133"/>
      <c r="Q94" s="133"/>
      <c r="R94" s="133"/>
      <c r="S94" s="133"/>
      <c r="T94" s="133"/>
      <c r="U94" s="133"/>
      <c r="V94" s="133"/>
      <c r="W94" s="133"/>
      <c r="X94" s="133"/>
      <c r="Z94" s="175" t="s">
        <v>361</v>
      </c>
      <c r="AA94" s="196">
        <v>5</v>
      </c>
      <c r="AB94" s="216" t="s">
        <v>543</v>
      </c>
    </row>
    <row r="95" spans="13:28" ht="14.25" customHeight="1" x14ac:dyDescent="0.3">
      <c r="M95" s="167" t="s">
        <v>340</v>
      </c>
      <c r="N95" s="168"/>
      <c r="O95" s="169"/>
      <c r="P95" s="169"/>
      <c r="Q95" s="169"/>
      <c r="R95" s="169"/>
      <c r="S95" s="169"/>
      <c r="T95" s="169"/>
      <c r="U95" s="169"/>
      <c r="V95" s="169"/>
      <c r="W95" s="169"/>
      <c r="X95" s="170"/>
      <c r="Z95" s="174" t="s">
        <v>363</v>
      </c>
      <c r="AA95" s="196">
        <v>6</v>
      </c>
      <c r="AB95" s="216" t="s">
        <v>543</v>
      </c>
    </row>
    <row r="96" spans="13:28" ht="14.25" customHeight="1" x14ac:dyDescent="0.3">
      <c r="M96" s="156">
        <v>125</v>
      </c>
      <c r="N96" s="123" t="s">
        <v>341</v>
      </c>
      <c r="O96" s="166"/>
      <c r="P96" s="158">
        <v>4</v>
      </c>
      <c r="Q96" s="158">
        <v>100</v>
      </c>
      <c r="R96" s="158" t="s">
        <v>439</v>
      </c>
      <c r="S96" s="158" t="s">
        <v>436</v>
      </c>
      <c r="T96" s="158">
        <v>30</v>
      </c>
      <c r="U96" s="158" t="s">
        <v>439</v>
      </c>
      <c r="V96" s="158" t="s">
        <v>436</v>
      </c>
      <c r="W96" s="158" t="s">
        <v>456</v>
      </c>
      <c r="X96" s="159" t="s">
        <v>438</v>
      </c>
      <c r="Z96" s="175" t="s">
        <v>365</v>
      </c>
      <c r="AA96" s="196">
        <v>8</v>
      </c>
      <c r="AB96" s="216" t="s">
        <v>543</v>
      </c>
    </row>
    <row r="97" spans="13:28" ht="14.25" customHeight="1" x14ac:dyDescent="0.3">
      <c r="M97" s="160">
        <v>150</v>
      </c>
      <c r="N97" s="147" t="s">
        <v>343</v>
      </c>
      <c r="O97" s="166"/>
      <c r="P97" s="158">
        <v>4</v>
      </c>
      <c r="Q97" s="158">
        <v>125</v>
      </c>
      <c r="R97" s="158" t="s">
        <v>439</v>
      </c>
      <c r="S97" s="158" t="s">
        <v>436</v>
      </c>
      <c r="T97" s="158">
        <v>50</v>
      </c>
      <c r="U97" s="158" t="s">
        <v>439</v>
      </c>
      <c r="V97" s="158" t="s">
        <v>436</v>
      </c>
      <c r="W97" s="158" t="s">
        <v>456</v>
      </c>
      <c r="X97" s="159" t="s">
        <v>438</v>
      </c>
      <c r="Z97" s="174" t="s">
        <v>367</v>
      </c>
      <c r="AA97" s="196">
        <v>9</v>
      </c>
      <c r="AB97" s="216" t="s">
        <v>543</v>
      </c>
    </row>
    <row r="98" spans="13:28" ht="14.25" customHeight="1" x14ac:dyDescent="0.3">
      <c r="M98" s="156">
        <v>175</v>
      </c>
      <c r="N98" s="123" t="s">
        <v>345</v>
      </c>
      <c r="O98" s="166"/>
      <c r="P98" s="158">
        <v>4</v>
      </c>
      <c r="Q98" s="158">
        <v>150</v>
      </c>
      <c r="R98" s="158" t="s">
        <v>439</v>
      </c>
      <c r="S98" s="158" t="s">
        <v>436</v>
      </c>
      <c r="T98" s="158">
        <v>50</v>
      </c>
      <c r="U98" s="158" t="s">
        <v>439</v>
      </c>
      <c r="V98" s="158" t="s">
        <v>436</v>
      </c>
      <c r="W98" s="158" t="s">
        <v>457</v>
      </c>
      <c r="X98" s="159" t="s">
        <v>438</v>
      </c>
      <c r="Z98" s="175" t="s">
        <v>369</v>
      </c>
      <c r="AA98" s="196">
        <v>10</v>
      </c>
      <c r="AB98" s="216" t="s">
        <v>543</v>
      </c>
    </row>
    <row r="99" spans="13:28" ht="14.25" customHeight="1" x14ac:dyDescent="0.3">
      <c r="M99" s="160">
        <v>200</v>
      </c>
      <c r="N99" s="147" t="s">
        <v>347</v>
      </c>
      <c r="O99" s="166"/>
      <c r="P99" s="158">
        <v>4</v>
      </c>
      <c r="Q99" s="158">
        <v>200</v>
      </c>
      <c r="R99" s="158" t="s">
        <v>439</v>
      </c>
      <c r="S99" s="158" t="s">
        <v>436</v>
      </c>
      <c r="T99" s="158">
        <v>60</v>
      </c>
      <c r="U99" s="158" t="s">
        <v>439</v>
      </c>
      <c r="V99" s="158" t="s">
        <v>436</v>
      </c>
      <c r="W99" s="158" t="s">
        <v>458</v>
      </c>
      <c r="X99" s="159" t="s">
        <v>438</v>
      </c>
      <c r="Z99" s="174" t="s">
        <v>371</v>
      </c>
      <c r="AA99" s="196">
        <v>11</v>
      </c>
      <c r="AB99" s="216" t="s">
        <v>543</v>
      </c>
    </row>
    <row r="100" spans="13:28" ht="14.25" customHeight="1" x14ac:dyDescent="0.3">
      <c r="M100" s="156">
        <v>250</v>
      </c>
      <c r="N100" s="123" t="s">
        <v>349</v>
      </c>
      <c r="O100" s="166"/>
      <c r="P100" s="158">
        <v>4</v>
      </c>
      <c r="Q100" s="158">
        <v>250</v>
      </c>
      <c r="R100" s="158" t="s">
        <v>439</v>
      </c>
      <c r="S100" s="158" t="s">
        <v>436</v>
      </c>
      <c r="T100" s="158">
        <v>80</v>
      </c>
      <c r="U100" s="158" t="s">
        <v>439</v>
      </c>
      <c r="V100" s="158" t="s">
        <v>436</v>
      </c>
      <c r="W100" s="158" t="s">
        <v>458</v>
      </c>
      <c r="X100" s="159" t="s">
        <v>438</v>
      </c>
      <c r="Z100" s="175" t="s">
        <v>373</v>
      </c>
      <c r="AA100" s="196">
        <v>12</v>
      </c>
      <c r="AB100" s="216" t="s">
        <v>543</v>
      </c>
    </row>
    <row r="101" spans="13:28" ht="14.25" customHeight="1" thickBot="1" x14ac:dyDescent="0.35">
      <c r="M101" s="160">
        <v>300</v>
      </c>
      <c r="N101" s="147" t="s">
        <v>351</v>
      </c>
      <c r="O101" s="166"/>
      <c r="P101" s="158">
        <v>4</v>
      </c>
      <c r="Q101" s="158">
        <v>325</v>
      </c>
      <c r="R101" s="158" t="s">
        <v>439</v>
      </c>
      <c r="S101" s="158" t="s">
        <v>436</v>
      </c>
      <c r="T101" s="158">
        <v>100</v>
      </c>
      <c r="U101" s="158" t="s">
        <v>439</v>
      </c>
      <c r="V101" s="158" t="s">
        <v>436</v>
      </c>
      <c r="W101" s="158" t="s">
        <v>458</v>
      </c>
      <c r="X101" s="159" t="s">
        <v>438</v>
      </c>
      <c r="Z101" s="176" t="s">
        <v>375</v>
      </c>
      <c r="AA101" s="197">
        <v>13</v>
      </c>
      <c r="AB101" s="217" t="s">
        <v>543</v>
      </c>
    </row>
    <row r="102" spans="13:28" ht="14.25" customHeight="1" x14ac:dyDescent="0.3">
      <c r="M102" s="156">
        <v>400</v>
      </c>
      <c r="N102" s="123" t="s">
        <v>353</v>
      </c>
      <c r="O102" s="166">
        <v>2</v>
      </c>
      <c r="P102" s="158">
        <v>4</v>
      </c>
      <c r="Q102" s="158">
        <v>125</v>
      </c>
      <c r="R102" s="158" t="s">
        <v>439</v>
      </c>
      <c r="S102" s="158" t="s">
        <v>436</v>
      </c>
      <c r="T102" s="158">
        <v>30</v>
      </c>
      <c r="U102" s="158" t="s">
        <v>439</v>
      </c>
      <c r="V102" s="158" t="s">
        <v>436</v>
      </c>
      <c r="W102" s="158" t="s">
        <v>458</v>
      </c>
      <c r="X102" s="159" t="s">
        <v>438</v>
      </c>
      <c r="Z102" s="175" t="s">
        <v>378</v>
      </c>
      <c r="AA102" s="196">
        <v>3</v>
      </c>
      <c r="AB102" s="216" t="s">
        <v>543</v>
      </c>
    </row>
    <row r="103" spans="13:28" ht="14.25" customHeight="1" thickBot="1" x14ac:dyDescent="0.35">
      <c r="M103" s="161">
        <v>600</v>
      </c>
      <c r="N103" s="162" t="s">
        <v>355</v>
      </c>
      <c r="O103" s="163">
        <v>2</v>
      </c>
      <c r="P103" s="163">
        <v>4</v>
      </c>
      <c r="Q103" s="163">
        <v>125</v>
      </c>
      <c r="R103" s="163" t="s">
        <v>439</v>
      </c>
      <c r="S103" s="163" t="s">
        <v>436</v>
      </c>
      <c r="T103" s="163">
        <v>30</v>
      </c>
      <c r="U103" s="163" t="s">
        <v>439</v>
      </c>
      <c r="V103" s="163" t="s">
        <v>436</v>
      </c>
      <c r="W103" s="163" t="s">
        <v>458</v>
      </c>
      <c r="X103" s="164" t="s">
        <v>438</v>
      </c>
      <c r="Z103" s="174" t="s">
        <v>379</v>
      </c>
      <c r="AA103" s="196">
        <v>4</v>
      </c>
      <c r="AB103" s="216" t="s">
        <v>543</v>
      </c>
    </row>
    <row r="104" spans="13:28" ht="14.25" customHeight="1" thickBot="1" x14ac:dyDescent="0.35">
      <c r="M104" s="6"/>
      <c r="N104" s="6"/>
      <c r="P104" s="133"/>
      <c r="Q104" s="133"/>
      <c r="R104" s="133"/>
      <c r="S104" s="133"/>
      <c r="T104" s="133"/>
      <c r="U104" s="133"/>
      <c r="V104" s="133"/>
      <c r="W104" s="133"/>
      <c r="X104" s="133"/>
      <c r="Z104" s="175" t="s">
        <v>380</v>
      </c>
      <c r="AA104" s="196">
        <v>5</v>
      </c>
      <c r="AB104" s="216" t="s">
        <v>543</v>
      </c>
    </row>
    <row r="105" spans="13:28" ht="14.25" customHeight="1" x14ac:dyDescent="0.3">
      <c r="M105" s="152" t="s">
        <v>356</v>
      </c>
      <c r="N105" s="153"/>
      <c r="O105" s="154"/>
      <c r="P105" s="154"/>
      <c r="Q105" s="154"/>
      <c r="R105" s="154"/>
      <c r="S105" s="154"/>
      <c r="T105" s="154"/>
      <c r="U105" s="154"/>
      <c r="V105" s="155"/>
      <c r="W105" s="133"/>
      <c r="X105" s="133"/>
      <c r="Z105" s="174" t="s">
        <v>381</v>
      </c>
      <c r="AA105" s="196">
        <v>6</v>
      </c>
      <c r="AB105" s="216" t="s">
        <v>543</v>
      </c>
    </row>
    <row r="106" spans="13:28" ht="14.25" customHeight="1" x14ac:dyDescent="0.3">
      <c r="M106" s="156">
        <v>70</v>
      </c>
      <c r="N106" s="123" t="s">
        <v>357</v>
      </c>
      <c r="O106" s="166"/>
      <c r="P106" s="158">
        <v>2</v>
      </c>
      <c r="Q106" s="158">
        <v>10</v>
      </c>
      <c r="R106" s="158" t="s">
        <v>439</v>
      </c>
      <c r="S106" s="158" t="s">
        <v>459</v>
      </c>
      <c r="T106" s="158">
        <v>8</v>
      </c>
      <c r="U106" s="158" t="s">
        <v>439</v>
      </c>
      <c r="V106" s="159" t="s">
        <v>436</v>
      </c>
      <c r="W106" s="133"/>
      <c r="X106" s="133"/>
      <c r="Z106" s="175" t="s">
        <v>382</v>
      </c>
      <c r="AA106" s="196">
        <v>8</v>
      </c>
      <c r="AB106" s="216" t="s">
        <v>543</v>
      </c>
    </row>
    <row r="107" spans="13:28" ht="14.25" customHeight="1" x14ac:dyDescent="0.3">
      <c r="M107" s="160">
        <v>80</v>
      </c>
      <c r="N107" s="147" t="s">
        <v>359</v>
      </c>
      <c r="O107" s="166"/>
      <c r="P107" s="158">
        <v>2</v>
      </c>
      <c r="Q107" s="158">
        <v>16</v>
      </c>
      <c r="R107" s="158" t="s">
        <v>439</v>
      </c>
      <c r="S107" s="158" t="s">
        <v>459</v>
      </c>
      <c r="T107" s="158">
        <v>8</v>
      </c>
      <c r="U107" s="158" t="s">
        <v>439</v>
      </c>
      <c r="V107" s="159" t="s">
        <v>436</v>
      </c>
      <c r="W107" s="133"/>
      <c r="X107" s="133"/>
      <c r="Z107" s="174" t="s">
        <v>383</v>
      </c>
      <c r="AA107" s="196">
        <v>9</v>
      </c>
      <c r="AB107" s="216" t="s">
        <v>543</v>
      </c>
    </row>
    <row r="108" spans="13:28" ht="14.25" customHeight="1" x14ac:dyDescent="0.3">
      <c r="M108" s="156">
        <v>125</v>
      </c>
      <c r="N108" s="123" t="s">
        <v>361</v>
      </c>
      <c r="O108" s="166"/>
      <c r="P108" s="158">
        <v>2</v>
      </c>
      <c r="Q108" s="158">
        <v>25</v>
      </c>
      <c r="R108" s="158" t="s">
        <v>439</v>
      </c>
      <c r="S108" s="158" t="s">
        <v>459</v>
      </c>
      <c r="T108" s="158">
        <v>8</v>
      </c>
      <c r="U108" s="158" t="s">
        <v>439</v>
      </c>
      <c r="V108" s="159" t="s">
        <v>436</v>
      </c>
      <c r="W108" s="133"/>
      <c r="X108" s="133"/>
      <c r="Z108" s="175" t="s">
        <v>384</v>
      </c>
      <c r="AA108" s="196">
        <v>10</v>
      </c>
      <c r="AB108" s="216" t="s">
        <v>543</v>
      </c>
    </row>
    <row r="109" spans="13:28" ht="14.25" customHeight="1" x14ac:dyDescent="0.3">
      <c r="M109" s="160">
        <v>150</v>
      </c>
      <c r="N109" s="147" t="s">
        <v>363</v>
      </c>
      <c r="O109" s="166"/>
      <c r="P109" s="158">
        <v>2</v>
      </c>
      <c r="Q109" s="158">
        <v>35</v>
      </c>
      <c r="R109" s="158" t="s">
        <v>439</v>
      </c>
      <c r="S109" s="158" t="s">
        <v>459</v>
      </c>
      <c r="T109" s="158">
        <v>14</v>
      </c>
      <c r="U109" s="158" t="s">
        <v>439</v>
      </c>
      <c r="V109" s="159" t="s">
        <v>436</v>
      </c>
      <c r="W109" s="133"/>
      <c r="X109" s="133"/>
      <c r="Z109" s="174" t="s">
        <v>385</v>
      </c>
      <c r="AA109" s="196">
        <v>11</v>
      </c>
      <c r="AB109" s="216" t="s">
        <v>543</v>
      </c>
    </row>
    <row r="110" spans="13:28" ht="14.25" customHeight="1" x14ac:dyDescent="0.3">
      <c r="M110" s="156">
        <v>200</v>
      </c>
      <c r="N110" s="123" t="s">
        <v>365</v>
      </c>
      <c r="O110" s="166"/>
      <c r="P110" s="158">
        <v>2</v>
      </c>
      <c r="Q110" s="158">
        <v>50</v>
      </c>
      <c r="R110" s="158" t="s">
        <v>439</v>
      </c>
      <c r="S110" s="158" t="s">
        <v>459</v>
      </c>
      <c r="T110" s="158">
        <v>14</v>
      </c>
      <c r="U110" s="158" t="s">
        <v>439</v>
      </c>
      <c r="V110" s="159" t="s">
        <v>436</v>
      </c>
      <c r="W110" s="133"/>
      <c r="X110" s="133"/>
      <c r="Z110" s="175" t="s">
        <v>386</v>
      </c>
      <c r="AA110" s="196">
        <v>12</v>
      </c>
      <c r="AB110" s="216" t="s">
        <v>543</v>
      </c>
    </row>
    <row r="111" spans="13:28" ht="14.25" customHeight="1" thickBot="1" x14ac:dyDescent="0.35">
      <c r="M111" s="160">
        <v>250</v>
      </c>
      <c r="N111" s="147" t="s">
        <v>367</v>
      </c>
      <c r="O111" s="166"/>
      <c r="P111" s="158">
        <v>2</v>
      </c>
      <c r="Q111" s="158">
        <v>70</v>
      </c>
      <c r="R111" s="158" t="s">
        <v>439</v>
      </c>
      <c r="S111" s="158" t="s">
        <v>459</v>
      </c>
      <c r="T111" s="158">
        <v>22</v>
      </c>
      <c r="U111" s="158" t="s">
        <v>439</v>
      </c>
      <c r="V111" s="159" t="s">
        <v>436</v>
      </c>
      <c r="W111" s="133"/>
      <c r="X111" s="133"/>
      <c r="Z111" s="176" t="s">
        <v>387</v>
      </c>
      <c r="AA111" s="197">
        <v>13</v>
      </c>
      <c r="AB111" s="217" t="s">
        <v>543</v>
      </c>
    </row>
    <row r="112" spans="13:28" ht="14.25" customHeight="1" x14ac:dyDescent="0.3">
      <c r="M112" s="156">
        <v>300</v>
      </c>
      <c r="N112" s="123" t="s">
        <v>369</v>
      </c>
      <c r="O112" s="166"/>
      <c r="P112" s="158">
        <v>2</v>
      </c>
      <c r="Q112" s="158">
        <v>95</v>
      </c>
      <c r="R112" s="158" t="s">
        <v>439</v>
      </c>
      <c r="S112" s="158" t="s">
        <v>459</v>
      </c>
      <c r="T112" s="158">
        <v>30</v>
      </c>
      <c r="U112" s="158" t="s">
        <v>439</v>
      </c>
      <c r="V112" s="159" t="s">
        <v>436</v>
      </c>
      <c r="W112" s="133"/>
      <c r="X112" s="133"/>
      <c r="Z112" s="325" t="s">
        <v>625</v>
      </c>
      <c r="AA112" s="199">
        <v>31</v>
      </c>
      <c r="AB112" s="215" t="s">
        <v>599</v>
      </c>
    </row>
    <row r="113" spans="13:28" ht="14.25" customHeight="1" x14ac:dyDescent="0.3">
      <c r="M113" s="160">
        <v>350</v>
      </c>
      <c r="N113" s="147" t="s">
        <v>371</v>
      </c>
      <c r="O113" s="166"/>
      <c r="P113" s="158">
        <v>2</v>
      </c>
      <c r="Q113" s="158">
        <v>120</v>
      </c>
      <c r="R113" s="158" t="s">
        <v>439</v>
      </c>
      <c r="S113" s="158" t="s">
        <v>459</v>
      </c>
      <c r="T113" s="158">
        <v>30</v>
      </c>
      <c r="U113" s="158" t="s">
        <v>439</v>
      </c>
      <c r="V113" s="159" t="s">
        <v>436</v>
      </c>
      <c r="W113" s="133"/>
      <c r="X113" s="133"/>
      <c r="Z113" s="324" t="s">
        <v>613</v>
      </c>
      <c r="AA113" s="165">
        <v>32</v>
      </c>
      <c r="AB113" s="216" t="s">
        <v>599</v>
      </c>
    </row>
    <row r="114" spans="13:28" ht="14.25" customHeight="1" x14ac:dyDescent="0.3">
      <c r="M114" s="156">
        <v>400</v>
      </c>
      <c r="N114" s="123" t="s">
        <v>373</v>
      </c>
      <c r="O114" s="166"/>
      <c r="P114" s="158">
        <v>2</v>
      </c>
      <c r="Q114" s="158">
        <v>150</v>
      </c>
      <c r="R114" s="158" t="s">
        <v>439</v>
      </c>
      <c r="S114" s="158" t="s">
        <v>459</v>
      </c>
      <c r="T114" s="158">
        <v>30</v>
      </c>
      <c r="U114" s="158" t="s">
        <v>439</v>
      </c>
      <c r="V114" s="159" t="s">
        <v>436</v>
      </c>
      <c r="W114" s="133"/>
      <c r="X114" s="133"/>
      <c r="Z114" s="327" t="s">
        <v>614</v>
      </c>
      <c r="AA114" s="165">
        <v>33</v>
      </c>
      <c r="AB114" s="216" t="s">
        <v>599</v>
      </c>
    </row>
    <row r="115" spans="13:28" ht="14.25" customHeight="1" thickBot="1" x14ac:dyDescent="0.35">
      <c r="M115" s="161">
        <v>500</v>
      </c>
      <c r="N115" s="162" t="s">
        <v>375</v>
      </c>
      <c r="O115" s="163"/>
      <c r="P115" s="163">
        <v>2</v>
      </c>
      <c r="Q115" s="163">
        <v>186</v>
      </c>
      <c r="R115" s="163" t="s">
        <v>439</v>
      </c>
      <c r="S115" s="163" t="s">
        <v>459</v>
      </c>
      <c r="T115" s="163">
        <v>30</v>
      </c>
      <c r="U115" s="163" t="s">
        <v>439</v>
      </c>
      <c r="V115" s="164" t="s">
        <v>436</v>
      </c>
      <c r="W115" s="133"/>
      <c r="X115" s="133"/>
      <c r="Z115" s="324" t="s">
        <v>615</v>
      </c>
      <c r="AA115" s="165">
        <v>34</v>
      </c>
      <c r="AB115" s="216" t="s">
        <v>599</v>
      </c>
    </row>
    <row r="116" spans="13:28" ht="14.25" customHeight="1" thickBot="1" x14ac:dyDescent="0.35">
      <c r="M116" s="6"/>
      <c r="N116" s="6"/>
      <c r="P116" s="133"/>
      <c r="Q116" s="133"/>
      <c r="R116" s="133"/>
      <c r="S116" s="133"/>
      <c r="T116" s="133"/>
      <c r="U116" s="133"/>
      <c r="V116" s="133"/>
      <c r="W116" s="133"/>
      <c r="X116" s="133"/>
      <c r="Z116" s="327" t="s">
        <v>616</v>
      </c>
      <c r="AA116" s="165">
        <v>35</v>
      </c>
      <c r="AB116" s="216" t="s">
        <v>599</v>
      </c>
    </row>
    <row r="117" spans="13:28" ht="14.25" customHeight="1" x14ac:dyDescent="0.3">
      <c r="M117" s="167" t="s">
        <v>377</v>
      </c>
      <c r="N117" s="168"/>
      <c r="O117" s="169"/>
      <c r="P117" s="169"/>
      <c r="Q117" s="169"/>
      <c r="R117" s="169"/>
      <c r="S117" s="169"/>
      <c r="T117" s="169"/>
      <c r="U117" s="169"/>
      <c r="V117" s="170"/>
      <c r="W117" s="133"/>
      <c r="X117" s="133"/>
      <c r="Z117" s="324" t="s">
        <v>617</v>
      </c>
      <c r="AA117" s="165">
        <v>36</v>
      </c>
      <c r="AB117" s="216" t="s">
        <v>599</v>
      </c>
    </row>
    <row r="118" spans="13:28" ht="14.25" customHeight="1" x14ac:dyDescent="0.3">
      <c r="M118" s="156">
        <v>70</v>
      </c>
      <c r="N118" s="123" t="s">
        <v>378</v>
      </c>
      <c r="O118" s="166"/>
      <c r="P118" s="158">
        <v>2</v>
      </c>
      <c r="Q118" s="158">
        <v>10</v>
      </c>
      <c r="R118" s="158" t="s">
        <v>439</v>
      </c>
      <c r="S118" s="158" t="s">
        <v>459</v>
      </c>
      <c r="T118" s="158">
        <v>8</v>
      </c>
      <c r="U118" s="158" t="s">
        <v>439</v>
      </c>
      <c r="V118" s="159" t="s">
        <v>436</v>
      </c>
      <c r="W118" s="133"/>
      <c r="X118" s="133"/>
      <c r="Z118" s="327" t="s">
        <v>618</v>
      </c>
      <c r="AA118" s="165">
        <v>37</v>
      </c>
      <c r="AB118" s="216" t="s">
        <v>599</v>
      </c>
    </row>
    <row r="119" spans="13:28" ht="14.25" customHeight="1" x14ac:dyDescent="0.3">
      <c r="M119" s="160">
        <v>80</v>
      </c>
      <c r="N119" s="147" t="s">
        <v>379</v>
      </c>
      <c r="O119" s="166"/>
      <c r="P119" s="158">
        <v>2</v>
      </c>
      <c r="Q119" s="158">
        <v>16</v>
      </c>
      <c r="R119" s="158" t="s">
        <v>439</v>
      </c>
      <c r="S119" s="158" t="s">
        <v>459</v>
      </c>
      <c r="T119" s="158">
        <v>8</v>
      </c>
      <c r="U119" s="158" t="s">
        <v>439</v>
      </c>
      <c r="V119" s="159" t="s">
        <v>436</v>
      </c>
      <c r="W119" s="133"/>
      <c r="X119" s="133"/>
      <c r="Z119" s="324" t="s">
        <v>619</v>
      </c>
      <c r="AA119" s="165">
        <v>38</v>
      </c>
      <c r="AB119" s="216" t="s">
        <v>599</v>
      </c>
    </row>
    <row r="120" spans="13:28" ht="14.25" customHeight="1" x14ac:dyDescent="0.3">
      <c r="M120" s="156">
        <v>125</v>
      </c>
      <c r="N120" s="123" t="s">
        <v>380</v>
      </c>
      <c r="O120" s="166"/>
      <c r="P120" s="158">
        <v>2</v>
      </c>
      <c r="Q120" s="158">
        <v>25</v>
      </c>
      <c r="R120" s="158" t="s">
        <v>439</v>
      </c>
      <c r="S120" s="158" t="s">
        <v>459</v>
      </c>
      <c r="T120" s="158">
        <v>8</v>
      </c>
      <c r="U120" s="158" t="s">
        <v>439</v>
      </c>
      <c r="V120" s="159" t="s">
        <v>436</v>
      </c>
      <c r="W120" s="133"/>
      <c r="X120" s="133"/>
      <c r="Z120" s="327" t="s">
        <v>620</v>
      </c>
      <c r="AA120" s="165">
        <v>39</v>
      </c>
      <c r="AB120" s="216" t="s">
        <v>599</v>
      </c>
    </row>
    <row r="121" spans="13:28" ht="14.25" customHeight="1" x14ac:dyDescent="0.3">
      <c r="M121" s="160">
        <v>150</v>
      </c>
      <c r="N121" s="147" t="s">
        <v>381</v>
      </c>
      <c r="O121" s="166"/>
      <c r="P121" s="158">
        <v>2</v>
      </c>
      <c r="Q121" s="158">
        <v>35</v>
      </c>
      <c r="R121" s="158" t="s">
        <v>439</v>
      </c>
      <c r="S121" s="158" t="s">
        <v>459</v>
      </c>
      <c r="T121" s="158">
        <v>14</v>
      </c>
      <c r="U121" s="158" t="s">
        <v>439</v>
      </c>
      <c r="V121" s="159" t="s">
        <v>436</v>
      </c>
      <c r="W121" s="133"/>
      <c r="X121" s="133"/>
      <c r="Z121" s="324" t="s">
        <v>621</v>
      </c>
      <c r="AA121" s="165">
        <v>40</v>
      </c>
      <c r="AB121" s="216" t="s">
        <v>599</v>
      </c>
    </row>
    <row r="122" spans="13:28" ht="14.25" customHeight="1" x14ac:dyDescent="0.3">
      <c r="M122" s="156">
        <v>200</v>
      </c>
      <c r="N122" s="123" t="s">
        <v>382</v>
      </c>
      <c r="O122" s="166"/>
      <c r="P122" s="158">
        <v>2</v>
      </c>
      <c r="Q122" s="158">
        <v>50</v>
      </c>
      <c r="R122" s="158" t="s">
        <v>439</v>
      </c>
      <c r="S122" s="158" t="s">
        <v>459</v>
      </c>
      <c r="T122" s="158">
        <v>14</v>
      </c>
      <c r="U122" s="158" t="s">
        <v>439</v>
      </c>
      <c r="V122" s="159" t="s">
        <v>436</v>
      </c>
      <c r="W122" s="133"/>
      <c r="X122" s="133"/>
      <c r="Z122" s="327" t="s">
        <v>622</v>
      </c>
      <c r="AA122" s="165">
        <v>41</v>
      </c>
      <c r="AB122" s="216" t="s">
        <v>599</v>
      </c>
    </row>
    <row r="123" spans="13:28" ht="14.25" customHeight="1" thickBot="1" x14ac:dyDescent="0.35">
      <c r="M123" s="160">
        <v>250</v>
      </c>
      <c r="N123" s="147" t="s">
        <v>383</v>
      </c>
      <c r="O123" s="166"/>
      <c r="P123" s="158">
        <v>2</v>
      </c>
      <c r="Q123" s="158">
        <v>70</v>
      </c>
      <c r="R123" s="158" t="s">
        <v>439</v>
      </c>
      <c r="S123" s="158" t="s">
        <v>459</v>
      </c>
      <c r="T123" s="158">
        <v>22</v>
      </c>
      <c r="U123" s="158" t="s">
        <v>439</v>
      </c>
      <c r="V123" s="159" t="s">
        <v>436</v>
      </c>
      <c r="W123" s="133"/>
      <c r="X123" s="133"/>
      <c r="Z123" s="324" t="s">
        <v>623</v>
      </c>
      <c r="AA123" s="165">
        <v>42</v>
      </c>
      <c r="AB123" s="216" t="s">
        <v>599</v>
      </c>
    </row>
    <row r="124" spans="13:28" ht="14.25" customHeight="1" x14ac:dyDescent="0.3">
      <c r="M124" s="156">
        <v>300</v>
      </c>
      <c r="N124" s="123" t="s">
        <v>384</v>
      </c>
      <c r="O124" s="166"/>
      <c r="P124" s="158">
        <v>2</v>
      </c>
      <c r="Q124" s="158">
        <v>95</v>
      </c>
      <c r="R124" s="158" t="s">
        <v>439</v>
      </c>
      <c r="S124" s="158" t="s">
        <v>459</v>
      </c>
      <c r="T124" s="158">
        <v>30</v>
      </c>
      <c r="U124" s="158" t="s">
        <v>439</v>
      </c>
      <c r="V124" s="159" t="s">
        <v>436</v>
      </c>
      <c r="W124" s="133"/>
      <c r="X124" s="133"/>
      <c r="Z124" s="328" t="s">
        <v>624</v>
      </c>
      <c r="AA124" s="199">
        <v>31</v>
      </c>
      <c r="AB124" s="215" t="s">
        <v>637</v>
      </c>
    </row>
    <row r="125" spans="13:28" ht="14.25" customHeight="1" x14ac:dyDescent="0.3">
      <c r="M125" s="160">
        <v>350</v>
      </c>
      <c r="N125" s="147" t="s">
        <v>385</v>
      </c>
      <c r="O125" s="166"/>
      <c r="P125" s="158">
        <v>2</v>
      </c>
      <c r="Q125" s="158">
        <v>120</v>
      </c>
      <c r="R125" s="158" t="s">
        <v>439</v>
      </c>
      <c r="S125" s="158" t="s">
        <v>459</v>
      </c>
      <c r="T125" s="158">
        <v>30</v>
      </c>
      <c r="U125" s="158" t="s">
        <v>439</v>
      </c>
      <c r="V125" s="159" t="s">
        <v>436</v>
      </c>
      <c r="W125" s="133"/>
      <c r="X125" s="133"/>
      <c r="Z125" s="324" t="s">
        <v>626</v>
      </c>
      <c r="AA125" s="166">
        <v>32</v>
      </c>
      <c r="AB125" s="216" t="s">
        <v>637</v>
      </c>
    </row>
    <row r="126" spans="13:28" ht="14.25" customHeight="1" x14ac:dyDescent="0.3">
      <c r="M126" s="156">
        <v>400</v>
      </c>
      <c r="N126" s="123" t="s">
        <v>386</v>
      </c>
      <c r="O126" s="166"/>
      <c r="P126" s="158">
        <v>2</v>
      </c>
      <c r="Q126" s="158">
        <v>150</v>
      </c>
      <c r="R126" s="158" t="s">
        <v>439</v>
      </c>
      <c r="S126" s="158" t="s">
        <v>459</v>
      </c>
      <c r="T126" s="158">
        <v>30</v>
      </c>
      <c r="U126" s="158" t="s">
        <v>439</v>
      </c>
      <c r="V126" s="159" t="s">
        <v>436</v>
      </c>
      <c r="W126" s="133"/>
      <c r="X126" s="133"/>
      <c r="Z126" s="327" t="s">
        <v>627</v>
      </c>
      <c r="AA126" s="166">
        <v>33</v>
      </c>
      <c r="AB126" s="216" t="s">
        <v>637</v>
      </c>
    </row>
    <row r="127" spans="13:28" ht="14.25" customHeight="1" thickBot="1" x14ac:dyDescent="0.35">
      <c r="M127" s="161">
        <v>500</v>
      </c>
      <c r="N127" s="162" t="s">
        <v>387</v>
      </c>
      <c r="O127" s="163"/>
      <c r="P127" s="163">
        <v>2</v>
      </c>
      <c r="Q127" s="163">
        <v>186</v>
      </c>
      <c r="R127" s="163" t="s">
        <v>439</v>
      </c>
      <c r="S127" s="163" t="s">
        <v>459</v>
      </c>
      <c r="T127" s="163">
        <v>30</v>
      </c>
      <c r="U127" s="163" t="s">
        <v>439</v>
      </c>
      <c r="V127" s="164" t="s">
        <v>436</v>
      </c>
      <c r="W127" s="133"/>
      <c r="X127" s="133"/>
      <c r="Z127" s="324" t="s">
        <v>628</v>
      </c>
      <c r="AA127" s="166">
        <v>34</v>
      </c>
      <c r="AB127" s="216" t="s">
        <v>637</v>
      </c>
    </row>
    <row r="128" spans="13:28" ht="14.25" customHeight="1" x14ac:dyDescent="0.3">
      <c r="X128" s="133"/>
      <c r="Z128" s="327" t="s">
        <v>629</v>
      </c>
      <c r="AA128" s="166">
        <v>35</v>
      </c>
      <c r="AB128" s="216" t="s">
        <v>637</v>
      </c>
    </row>
    <row r="129" spans="24:28" ht="14.25" customHeight="1" x14ac:dyDescent="0.3">
      <c r="X129" s="133"/>
      <c r="Z129" s="324" t="s">
        <v>630</v>
      </c>
      <c r="AA129" s="166">
        <v>36</v>
      </c>
      <c r="AB129" s="216" t="s">
        <v>637</v>
      </c>
    </row>
    <row r="130" spans="24:28" ht="14.25" customHeight="1" x14ac:dyDescent="0.3">
      <c r="X130" s="133"/>
      <c r="Z130" s="327" t="s">
        <v>631</v>
      </c>
      <c r="AA130" s="166">
        <v>37</v>
      </c>
      <c r="AB130" s="216" t="s">
        <v>637</v>
      </c>
    </row>
    <row r="131" spans="24:28" ht="14.25" customHeight="1" x14ac:dyDescent="0.3">
      <c r="X131" s="133"/>
      <c r="Z131" s="324" t="s">
        <v>632</v>
      </c>
      <c r="AA131" s="166">
        <v>38</v>
      </c>
      <c r="AB131" s="216" t="s">
        <v>637</v>
      </c>
    </row>
    <row r="132" spans="24:28" ht="14.25" customHeight="1" x14ac:dyDescent="0.3">
      <c r="X132" s="133"/>
      <c r="Z132" s="327" t="s">
        <v>633</v>
      </c>
      <c r="AA132" s="166">
        <v>39</v>
      </c>
      <c r="AB132" s="216" t="s">
        <v>637</v>
      </c>
    </row>
    <row r="133" spans="24:28" ht="14.25" customHeight="1" x14ac:dyDescent="0.3">
      <c r="X133" s="133"/>
      <c r="Z133" s="324" t="s">
        <v>634</v>
      </c>
      <c r="AA133" s="166">
        <v>40</v>
      </c>
      <c r="AB133" s="216" t="s">
        <v>637</v>
      </c>
    </row>
    <row r="134" spans="24:28" ht="14.25" customHeight="1" x14ac:dyDescent="0.3">
      <c r="X134" s="133"/>
      <c r="Z134" s="327" t="s">
        <v>635</v>
      </c>
      <c r="AA134" s="166">
        <v>41</v>
      </c>
      <c r="AB134" s="216" t="s">
        <v>637</v>
      </c>
    </row>
    <row r="135" spans="24:28" ht="14.25" customHeight="1" thickBot="1" x14ac:dyDescent="0.35">
      <c r="X135" s="133"/>
      <c r="Z135" s="326" t="s">
        <v>636</v>
      </c>
      <c r="AA135" s="191">
        <v>42</v>
      </c>
      <c r="AB135" s="217" t="s">
        <v>637</v>
      </c>
    </row>
    <row r="136" spans="24:28" ht="14.25" customHeight="1" x14ac:dyDescent="0.3">
      <c r="X136" s="133"/>
    </row>
    <row r="137" spans="24:28" ht="14.25" customHeight="1" x14ac:dyDescent="0.3">
      <c r="X137" s="133"/>
    </row>
    <row r="138" spans="24:28" ht="14.25" customHeight="1" x14ac:dyDescent="0.3">
      <c r="X138" s="133"/>
    </row>
    <row r="139" spans="24:28" ht="14.25" customHeight="1" x14ac:dyDescent="0.3">
      <c r="X139" s="133"/>
    </row>
    <row r="140" spans="24:28" ht="14.25" customHeight="1" x14ac:dyDescent="0.3">
      <c r="X140" s="133"/>
    </row>
    <row r="141" spans="24:28" ht="14.25" customHeight="1" x14ac:dyDescent="0.3">
      <c r="X141" s="133"/>
    </row>
    <row r="142" spans="24:28" ht="14.25" customHeight="1" x14ac:dyDescent="0.3">
      <c r="X142" s="133"/>
    </row>
    <row r="143" spans="24:28" ht="14.25" customHeight="1" x14ac:dyDescent="0.3">
      <c r="X143" s="133"/>
    </row>
    <row r="144" spans="24:28" ht="14.25" customHeight="1" x14ac:dyDescent="0.3">
      <c r="X144" s="133"/>
    </row>
    <row r="145" spans="24:24" ht="14.25" customHeight="1" x14ac:dyDescent="0.3">
      <c r="X145" s="133"/>
    </row>
    <row r="146" spans="24:24" ht="14.25" customHeight="1" x14ac:dyDescent="0.3">
      <c r="X146" s="133"/>
    </row>
    <row r="147" spans="24:24" ht="14.25" customHeight="1" x14ac:dyDescent="0.3">
      <c r="X147" s="133"/>
    </row>
    <row r="148" spans="24:24" ht="14.25" customHeight="1" x14ac:dyDescent="0.3">
      <c r="X148" s="133"/>
    </row>
    <row r="149" spans="24:24" ht="14.25" customHeight="1" x14ac:dyDescent="0.3">
      <c r="X149" s="133"/>
    </row>
    <row r="150" spans="24:24" ht="14.25" customHeight="1" x14ac:dyDescent="0.3">
      <c r="X150" s="133"/>
    </row>
    <row r="151" spans="24:24" ht="14.25" customHeight="1" x14ac:dyDescent="0.3">
      <c r="X151" s="133"/>
    </row>
    <row r="152" spans="24:24" ht="14.25" customHeight="1" x14ac:dyDescent="0.3">
      <c r="X152" s="133"/>
    </row>
    <row r="153" spans="24:24" ht="14.25" customHeight="1" x14ac:dyDescent="0.3">
      <c r="X153" s="133"/>
    </row>
    <row r="154" spans="24:24" ht="14.25" customHeight="1" x14ac:dyDescent="0.3">
      <c r="X154" s="133"/>
    </row>
    <row r="155" spans="24:24" ht="14.25" customHeight="1" x14ac:dyDescent="0.3">
      <c r="X155" s="133"/>
    </row>
    <row r="156" spans="24:24" ht="14.25" customHeight="1" x14ac:dyDescent="0.3">
      <c r="X156" s="133"/>
    </row>
    <row r="157" spans="24:24" ht="14.25" customHeight="1" x14ac:dyDescent="0.3">
      <c r="X157" s="133"/>
    </row>
    <row r="158" spans="24:24" ht="14.25" customHeight="1" x14ac:dyDescent="0.3">
      <c r="X158" s="133"/>
    </row>
    <row r="159" spans="24:24" ht="14.25" customHeight="1" x14ac:dyDescent="0.3">
      <c r="X159" s="133"/>
    </row>
    <row r="160" spans="24:24" ht="14.25" customHeight="1" x14ac:dyDescent="0.3">
      <c r="X160" s="133"/>
    </row>
    <row r="161" spans="24:24" ht="14.25" customHeight="1" x14ac:dyDescent="0.3">
      <c r="X161" s="133"/>
    </row>
    <row r="162" spans="24:24" ht="14.25" customHeight="1" x14ac:dyDescent="0.3">
      <c r="X162" s="133"/>
    </row>
    <row r="163" spans="24:24" ht="14.25" customHeight="1" x14ac:dyDescent="0.3">
      <c r="X163" s="133"/>
    </row>
    <row r="164" spans="24:24" ht="14.25" customHeight="1" x14ac:dyDescent="0.3">
      <c r="X164" s="133"/>
    </row>
    <row r="165" spans="24:24" ht="14.25" customHeight="1" x14ac:dyDescent="0.3">
      <c r="X165" s="133"/>
    </row>
    <row r="166" spans="24:24" ht="14.25" customHeight="1" x14ac:dyDescent="0.3">
      <c r="X166" s="133"/>
    </row>
    <row r="167" spans="24:24" ht="14.25" customHeight="1" x14ac:dyDescent="0.3">
      <c r="X167" s="133"/>
    </row>
    <row r="168" spans="24:24" ht="14.25" customHeight="1" x14ac:dyDescent="0.3">
      <c r="X168" s="133"/>
    </row>
    <row r="169" spans="24:24" ht="14.25" customHeight="1" x14ac:dyDescent="0.3">
      <c r="X169" s="133"/>
    </row>
    <row r="170" spans="24:24" ht="14.25" customHeight="1" x14ac:dyDescent="0.3">
      <c r="X170" s="133"/>
    </row>
    <row r="171" spans="24:24" ht="14.25" customHeight="1" x14ac:dyDescent="0.3">
      <c r="X171" s="133"/>
    </row>
    <row r="172" spans="24:24" ht="14.25" customHeight="1" x14ac:dyDescent="0.3">
      <c r="X172" s="133"/>
    </row>
    <row r="173" spans="24:24" ht="14.25" customHeight="1" x14ac:dyDescent="0.3">
      <c r="X173" s="133"/>
    </row>
    <row r="174" spans="24:24" ht="14.25" customHeight="1" x14ac:dyDescent="0.3">
      <c r="X174" s="133"/>
    </row>
    <row r="175" spans="24:24" ht="14.25" customHeight="1" x14ac:dyDescent="0.3">
      <c r="X175" s="133"/>
    </row>
    <row r="176" spans="24:24" ht="14.25" customHeight="1" x14ac:dyDescent="0.3">
      <c r="X176" s="133"/>
    </row>
    <row r="177" spans="24:24" ht="14.25" customHeight="1" x14ac:dyDescent="0.3">
      <c r="X177" s="133"/>
    </row>
    <row r="178" spans="24:24" ht="14.25" customHeight="1" x14ac:dyDescent="0.3">
      <c r="X178" s="133"/>
    </row>
    <row r="179" spans="24:24" ht="14.25" customHeight="1" x14ac:dyDescent="0.3">
      <c r="X179" s="133"/>
    </row>
    <row r="180" spans="24:24" ht="14.25" customHeight="1" x14ac:dyDescent="0.3">
      <c r="X180" s="133"/>
    </row>
    <row r="181" spans="24:24" ht="14.25" customHeight="1" x14ac:dyDescent="0.3">
      <c r="X181" s="133"/>
    </row>
    <row r="182" spans="24:24" ht="14.25" customHeight="1" x14ac:dyDescent="0.3">
      <c r="X182" s="133"/>
    </row>
    <row r="183" spans="24:24" ht="14.25" customHeight="1" x14ac:dyDescent="0.3">
      <c r="X183" s="133"/>
    </row>
    <row r="184" spans="24:24" ht="14.25" customHeight="1" x14ac:dyDescent="0.3">
      <c r="X184" s="133"/>
    </row>
    <row r="185" spans="24:24" ht="14.25" customHeight="1" x14ac:dyDescent="0.3">
      <c r="X185" s="133"/>
    </row>
    <row r="186" spans="24:24" ht="14.25" customHeight="1" x14ac:dyDescent="0.3">
      <c r="X186" s="133"/>
    </row>
    <row r="187" spans="24:24" ht="14.25" customHeight="1" x14ac:dyDescent="0.3">
      <c r="X187" s="133"/>
    </row>
    <row r="188" spans="24:24" ht="14.25" customHeight="1" x14ac:dyDescent="0.3">
      <c r="X188" s="133"/>
    </row>
    <row r="189" spans="24:24" ht="14.25" customHeight="1" x14ac:dyDescent="0.3">
      <c r="X189" s="133"/>
    </row>
    <row r="190" spans="24:24" ht="14.25" customHeight="1" x14ac:dyDescent="0.3">
      <c r="X190" s="133"/>
    </row>
    <row r="191" spans="24:24" ht="14.25" customHeight="1" x14ac:dyDescent="0.3">
      <c r="X191" s="133"/>
    </row>
    <row r="192" spans="24:24" ht="14.25" customHeight="1" x14ac:dyDescent="0.3">
      <c r="X192" s="133"/>
    </row>
    <row r="193" spans="2:24" ht="14.25" customHeight="1" x14ac:dyDescent="0.3">
      <c r="X193" s="133"/>
    </row>
    <row r="194" spans="2:24" ht="14.25" customHeight="1" x14ac:dyDescent="0.3">
      <c r="X194" s="133"/>
    </row>
    <row r="195" spans="2:24" ht="14.25" customHeight="1" x14ac:dyDescent="0.3">
      <c r="X195" s="133"/>
    </row>
    <row r="196" spans="2:24" ht="14.25" customHeight="1" x14ac:dyDescent="0.3">
      <c r="B196" s="6"/>
      <c r="C196" s="6"/>
      <c r="D196" s="46"/>
      <c r="G196" s="6"/>
      <c r="H196" s="6"/>
      <c r="I196" s="6"/>
      <c r="J196" s="6"/>
      <c r="X196" s="133"/>
    </row>
    <row r="197" spans="2:24" ht="14.25" customHeight="1" x14ac:dyDescent="0.3">
      <c r="B197" s="6"/>
      <c r="C197" s="6"/>
      <c r="D197" s="46"/>
      <c r="G197" s="6"/>
      <c r="H197" s="6"/>
      <c r="I197" s="6"/>
      <c r="J197" s="6"/>
      <c r="Q197" s="133"/>
      <c r="R197" s="133"/>
      <c r="S197" s="133"/>
      <c r="T197" s="133"/>
      <c r="U197" s="133"/>
      <c r="V197" s="133"/>
      <c r="W197" s="133"/>
      <c r="X197" s="133"/>
    </row>
    <row r="198" spans="2:24" ht="14.25" customHeight="1" x14ac:dyDescent="0.3">
      <c r="B198" s="6"/>
      <c r="C198" s="6"/>
      <c r="D198" s="46"/>
      <c r="G198" s="6"/>
      <c r="H198" s="6"/>
      <c r="I198" s="6"/>
      <c r="J198" s="6"/>
      <c r="Q198" s="133"/>
      <c r="R198" s="133"/>
      <c r="S198" s="133"/>
      <c r="T198" s="133"/>
      <c r="U198" s="133"/>
      <c r="V198" s="133"/>
      <c r="W198" s="133"/>
      <c r="X198" s="133"/>
    </row>
    <row r="199" spans="2:24" ht="14.25" customHeight="1" x14ac:dyDescent="0.3">
      <c r="B199" s="6"/>
      <c r="C199" s="6"/>
      <c r="D199" s="46"/>
      <c r="G199" s="6"/>
      <c r="H199" s="6"/>
      <c r="I199" s="6"/>
      <c r="J199" s="6"/>
      <c r="Q199" s="133"/>
      <c r="R199" s="133"/>
      <c r="S199" s="133"/>
      <c r="T199" s="133"/>
      <c r="U199" s="133"/>
      <c r="V199" s="133"/>
      <c r="W199" s="133"/>
      <c r="X199" s="133"/>
    </row>
    <row r="200" spans="2:24" ht="14.25" customHeight="1" x14ac:dyDescent="0.3">
      <c r="B200" s="6"/>
      <c r="C200" s="6"/>
      <c r="D200" s="46"/>
      <c r="G200" s="6"/>
      <c r="H200" s="6"/>
      <c r="I200" s="6"/>
      <c r="J200" s="6"/>
      <c r="Q200" s="133"/>
      <c r="R200" s="133"/>
      <c r="S200" s="133"/>
      <c r="T200" s="133"/>
      <c r="U200" s="133"/>
      <c r="V200" s="133"/>
      <c r="W200" s="133"/>
      <c r="X200" s="133"/>
    </row>
    <row r="201" spans="2:24" ht="14.25" customHeight="1" x14ac:dyDescent="0.3">
      <c r="B201" s="6"/>
      <c r="C201" s="6"/>
      <c r="D201" s="46"/>
      <c r="G201" s="6"/>
      <c r="H201" s="6"/>
      <c r="I201" s="6"/>
      <c r="J201" s="6"/>
      <c r="Q201" s="133"/>
      <c r="R201" s="133"/>
      <c r="S201" s="133"/>
      <c r="T201" s="133"/>
      <c r="U201" s="133"/>
      <c r="V201" s="133"/>
      <c r="W201" s="133"/>
      <c r="X201" s="133"/>
    </row>
    <row r="202" spans="2:24" ht="14.25" customHeight="1" x14ac:dyDescent="0.3">
      <c r="B202" s="6"/>
      <c r="C202" s="6"/>
      <c r="D202" s="46"/>
      <c r="G202" s="6"/>
      <c r="H202" s="6"/>
      <c r="I202" s="6"/>
      <c r="J202" s="6"/>
      <c r="Q202" s="133"/>
      <c r="R202" s="133"/>
      <c r="S202" s="133"/>
      <c r="T202" s="133"/>
      <c r="U202" s="133"/>
      <c r="V202" s="133"/>
      <c r="W202" s="133"/>
      <c r="X202" s="133"/>
    </row>
    <row r="203" spans="2:24" ht="14.25" customHeight="1" x14ac:dyDescent="0.3">
      <c r="B203" s="6"/>
      <c r="C203" s="6"/>
      <c r="D203" s="46"/>
      <c r="G203" s="6"/>
      <c r="H203" s="6"/>
      <c r="I203" s="6"/>
      <c r="J203" s="6"/>
      <c r="Q203" s="133"/>
      <c r="R203" s="133"/>
      <c r="S203" s="133"/>
      <c r="T203" s="133"/>
      <c r="U203" s="133"/>
      <c r="V203" s="133"/>
      <c r="W203" s="133"/>
      <c r="X203" s="133"/>
    </row>
    <row r="204" spans="2:24" ht="14.25" customHeight="1" x14ac:dyDescent="0.3">
      <c r="B204" s="6"/>
      <c r="C204" s="6"/>
      <c r="D204" s="46"/>
      <c r="G204" s="6"/>
      <c r="H204" s="6"/>
      <c r="I204" s="6"/>
      <c r="J204" s="6"/>
      <c r="Q204" s="133"/>
      <c r="R204" s="133"/>
      <c r="S204" s="133"/>
      <c r="T204" s="133"/>
      <c r="U204" s="133"/>
      <c r="V204" s="133"/>
      <c r="W204" s="133"/>
      <c r="X204" s="133"/>
    </row>
    <row r="205" spans="2:24" ht="14.25" customHeight="1" x14ac:dyDescent="0.3">
      <c r="B205" s="6"/>
      <c r="C205" s="6"/>
      <c r="D205" s="46"/>
      <c r="G205" s="6"/>
      <c r="H205" s="6"/>
      <c r="I205" s="6"/>
      <c r="J205" s="6"/>
      <c r="Q205" s="133"/>
      <c r="R205" s="133"/>
      <c r="S205" s="133"/>
      <c r="T205" s="133"/>
      <c r="U205" s="133"/>
      <c r="V205" s="133"/>
      <c r="W205" s="133"/>
      <c r="X205" s="133"/>
    </row>
    <row r="206" spans="2:24" ht="14.25" customHeight="1" x14ac:dyDescent="0.3">
      <c r="B206" s="6"/>
      <c r="C206" s="6"/>
      <c r="D206" s="46"/>
      <c r="G206" s="6"/>
      <c r="H206" s="6"/>
      <c r="I206" s="6"/>
      <c r="J206" s="6"/>
      <c r="Q206" s="133"/>
      <c r="R206" s="133"/>
      <c r="S206" s="133"/>
      <c r="T206" s="133"/>
      <c r="U206" s="133"/>
      <c r="V206" s="133"/>
      <c r="W206" s="133"/>
      <c r="X206" s="133"/>
    </row>
    <row r="207" spans="2:24" ht="14.25" customHeight="1" x14ac:dyDescent="0.3">
      <c r="B207" s="6"/>
      <c r="C207" s="6"/>
      <c r="D207" s="46"/>
      <c r="G207" s="6"/>
      <c r="H207" s="6"/>
      <c r="I207" s="6"/>
      <c r="J207" s="6"/>
      <c r="Q207" s="133"/>
      <c r="R207" s="133"/>
      <c r="S207" s="133"/>
      <c r="T207" s="133"/>
      <c r="U207" s="133"/>
      <c r="V207" s="133"/>
      <c r="W207" s="133"/>
      <c r="X207" s="133"/>
    </row>
    <row r="208" spans="2:24" ht="14.25" customHeight="1" x14ac:dyDescent="0.3">
      <c r="B208" s="6"/>
      <c r="C208" s="6"/>
      <c r="D208" s="46"/>
      <c r="G208" s="6"/>
      <c r="H208" s="6"/>
      <c r="I208" s="6"/>
      <c r="J208" s="6"/>
      <c r="Q208" s="133"/>
      <c r="R208" s="133"/>
      <c r="S208" s="133"/>
      <c r="T208" s="133"/>
      <c r="U208" s="133"/>
      <c r="V208" s="133"/>
      <c r="W208" s="133"/>
      <c r="X208" s="133"/>
    </row>
    <row r="209" spans="2:24" ht="14.25" customHeight="1" x14ac:dyDescent="0.3">
      <c r="B209" s="6"/>
      <c r="C209" s="6"/>
      <c r="D209" s="46"/>
      <c r="G209" s="6"/>
      <c r="H209" s="6"/>
      <c r="I209" s="6"/>
      <c r="J209" s="6"/>
      <c r="Q209" s="133"/>
      <c r="R209" s="133"/>
      <c r="S209" s="133"/>
      <c r="T209" s="133"/>
      <c r="U209" s="133"/>
      <c r="V209" s="133"/>
      <c r="W209" s="133"/>
      <c r="X209" s="133"/>
    </row>
    <row r="210" spans="2:24" ht="14.25" customHeight="1" x14ac:dyDescent="0.3">
      <c r="B210" s="6"/>
      <c r="C210" s="6"/>
      <c r="D210" s="46"/>
      <c r="G210" s="6"/>
      <c r="H210" s="6"/>
      <c r="I210" s="6"/>
      <c r="J210" s="6"/>
      <c r="Q210" s="133"/>
      <c r="R210" s="133"/>
      <c r="S210" s="133"/>
      <c r="T210" s="133"/>
      <c r="U210" s="133"/>
      <c r="V210" s="133"/>
      <c r="W210" s="133"/>
      <c r="X210" s="133"/>
    </row>
    <row r="211" spans="2:24" ht="14.25" customHeight="1" x14ac:dyDescent="0.3">
      <c r="B211" s="6"/>
      <c r="C211" s="6"/>
      <c r="D211" s="46"/>
      <c r="G211" s="6"/>
      <c r="H211" s="6"/>
      <c r="I211" s="6"/>
      <c r="J211" s="6"/>
      <c r="Q211" s="133"/>
      <c r="R211" s="133"/>
      <c r="S211" s="133"/>
      <c r="T211" s="133"/>
      <c r="U211" s="133"/>
      <c r="V211" s="133"/>
      <c r="W211" s="133"/>
      <c r="X211" s="133"/>
    </row>
    <row r="212" spans="2:24" ht="14.25" customHeight="1" x14ac:dyDescent="0.3">
      <c r="B212" s="6"/>
      <c r="C212" s="6"/>
      <c r="D212" s="46"/>
      <c r="G212" s="6"/>
      <c r="H212" s="6"/>
      <c r="I212" s="6"/>
      <c r="J212" s="6"/>
      <c r="Q212" s="133"/>
      <c r="R212" s="133"/>
      <c r="S212" s="133"/>
      <c r="T212" s="133"/>
      <c r="U212" s="133"/>
      <c r="V212" s="133"/>
      <c r="W212" s="133"/>
      <c r="X212" s="133"/>
    </row>
    <row r="213" spans="2:24" ht="14.25" customHeight="1" x14ac:dyDescent="0.3">
      <c r="B213" s="6"/>
      <c r="C213" s="6"/>
      <c r="D213" s="46"/>
      <c r="G213" s="6"/>
      <c r="H213" s="6"/>
      <c r="I213" s="6"/>
      <c r="J213" s="6"/>
      <c r="Q213" s="133"/>
      <c r="R213" s="133"/>
      <c r="S213" s="133"/>
      <c r="T213" s="133"/>
      <c r="U213" s="133"/>
      <c r="V213" s="133"/>
      <c r="W213" s="133"/>
      <c r="X213" s="133"/>
    </row>
    <row r="214" spans="2:24" ht="14.25" customHeight="1" x14ac:dyDescent="0.3">
      <c r="B214" s="6"/>
      <c r="C214" s="6"/>
      <c r="D214" s="46"/>
      <c r="G214" s="6"/>
      <c r="H214" s="6"/>
      <c r="I214" s="6"/>
      <c r="J214" s="6"/>
      <c r="Q214" s="133"/>
      <c r="R214" s="133"/>
      <c r="S214" s="133"/>
      <c r="T214" s="133"/>
      <c r="U214" s="133"/>
      <c r="V214" s="133"/>
      <c r="W214" s="133"/>
      <c r="X214" s="133"/>
    </row>
    <row r="215" spans="2:24" ht="14.25" customHeight="1" x14ac:dyDescent="0.3">
      <c r="B215" s="6"/>
      <c r="C215" s="6"/>
      <c r="D215" s="46"/>
      <c r="G215" s="6"/>
      <c r="H215" s="6"/>
      <c r="I215" s="6"/>
      <c r="J215" s="6"/>
      <c r="Q215" s="133"/>
      <c r="R215" s="133"/>
      <c r="S215" s="133"/>
      <c r="T215" s="133"/>
      <c r="U215" s="133"/>
      <c r="V215" s="133"/>
      <c r="W215" s="133"/>
      <c r="X215" s="133"/>
    </row>
    <row r="216" spans="2:24" ht="14.25" customHeight="1" x14ac:dyDescent="0.3">
      <c r="B216" s="6"/>
      <c r="C216" s="6"/>
      <c r="D216" s="46"/>
      <c r="G216" s="6"/>
      <c r="H216" s="6"/>
      <c r="I216" s="6"/>
      <c r="J216" s="6"/>
      <c r="Q216" s="133"/>
      <c r="R216" s="133"/>
      <c r="S216" s="133"/>
      <c r="T216" s="133"/>
      <c r="U216" s="133"/>
      <c r="V216" s="133"/>
      <c r="W216" s="133"/>
      <c r="X216" s="133"/>
    </row>
    <row r="217" spans="2:24" ht="14.25" customHeight="1" x14ac:dyDescent="0.3">
      <c r="B217" s="6"/>
      <c r="C217" s="6"/>
      <c r="D217" s="46"/>
      <c r="G217" s="6"/>
      <c r="H217" s="6"/>
      <c r="I217" s="6"/>
      <c r="J217" s="6"/>
      <c r="Q217" s="133"/>
      <c r="R217" s="133"/>
      <c r="S217" s="133"/>
      <c r="T217" s="133"/>
      <c r="U217" s="133"/>
      <c r="V217" s="133"/>
      <c r="W217" s="133"/>
      <c r="X217" s="133"/>
    </row>
    <row r="218" spans="2:24" ht="14.25" customHeight="1" x14ac:dyDescent="0.3">
      <c r="B218" s="6"/>
      <c r="C218" s="6"/>
      <c r="D218" s="46"/>
      <c r="G218" s="6"/>
      <c r="H218" s="6"/>
      <c r="I218" s="6"/>
      <c r="J218" s="6"/>
      <c r="Q218" s="133"/>
      <c r="R218" s="133"/>
      <c r="S218" s="133"/>
      <c r="T218" s="133"/>
      <c r="U218" s="133"/>
      <c r="V218" s="133"/>
      <c r="W218" s="133"/>
      <c r="X218" s="133"/>
    </row>
    <row r="219" spans="2:24" ht="14.25" customHeight="1" x14ac:dyDescent="0.3">
      <c r="B219" s="6"/>
      <c r="C219" s="6"/>
      <c r="D219" s="46"/>
      <c r="G219" s="6"/>
      <c r="H219" s="6"/>
      <c r="I219" s="6"/>
      <c r="J219" s="6"/>
      <c r="Q219" s="133"/>
      <c r="R219" s="133"/>
      <c r="S219" s="133"/>
      <c r="T219" s="133"/>
      <c r="U219" s="133"/>
      <c r="V219" s="133"/>
      <c r="W219" s="133"/>
      <c r="X219" s="133"/>
    </row>
    <row r="220" spans="2:24" ht="14.25" customHeight="1" x14ac:dyDescent="0.3">
      <c r="B220" s="6"/>
      <c r="C220" s="6"/>
      <c r="D220" s="46"/>
      <c r="G220" s="6"/>
      <c r="H220" s="6"/>
      <c r="I220" s="6"/>
      <c r="J220" s="6"/>
      <c r="Q220" s="133"/>
      <c r="R220" s="133"/>
      <c r="S220" s="133"/>
      <c r="T220" s="133"/>
      <c r="U220" s="133"/>
      <c r="V220" s="133"/>
      <c r="W220" s="133"/>
      <c r="X220" s="133"/>
    </row>
    <row r="221" spans="2:24" ht="14.25" customHeight="1" x14ac:dyDescent="0.3">
      <c r="B221" s="6"/>
      <c r="C221" s="6"/>
      <c r="D221" s="46"/>
      <c r="G221" s="6"/>
      <c r="H221" s="6"/>
      <c r="I221" s="6"/>
      <c r="J221" s="6"/>
      <c r="Q221" s="133"/>
      <c r="R221" s="133"/>
      <c r="S221" s="133"/>
      <c r="T221" s="133"/>
      <c r="U221" s="133"/>
      <c r="V221" s="133"/>
      <c r="W221" s="133"/>
      <c r="X221" s="133"/>
    </row>
    <row r="222" spans="2:24" ht="14.25" customHeight="1" x14ac:dyDescent="0.3">
      <c r="B222" s="6"/>
      <c r="C222" s="6"/>
      <c r="D222" s="46"/>
      <c r="G222" s="6"/>
      <c r="H222" s="6"/>
      <c r="I222" s="6"/>
      <c r="J222" s="6"/>
      <c r="Q222" s="133"/>
      <c r="R222" s="133"/>
      <c r="S222" s="133"/>
      <c r="T222" s="133"/>
      <c r="U222" s="133"/>
      <c r="V222" s="133"/>
      <c r="W222" s="133"/>
      <c r="X222" s="133"/>
    </row>
    <row r="223" spans="2:24" ht="14.25" customHeight="1" x14ac:dyDescent="0.3">
      <c r="B223" s="6"/>
      <c r="C223" s="6"/>
      <c r="D223" s="46"/>
      <c r="G223" s="6"/>
      <c r="H223" s="6"/>
      <c r="I223" s="6"/>
      <c r="J223" s="6"/>
      <c r="Q223" s="133"/>
      <c r="R223" s="133"/>
      <c r="S223" s="133"/>
      <c r="T223" s="133"/>
      <c r="U223" s="133"/>
      <c r="V223" s="133"/>
      <c r="W223" s="133"/>
      <c r="X223" s="133"/>
    </row>
    <row r="224" spans="2:24" ht="14.25" customHeight="1" x14ac:dyDescent="0.3">
      <c r="B224" s="6"/>
      <c r="C224" s="6"/>
      <c r="D224" s="46"/>
      <c r="G224" s="6"/>
      <c r="H224" s="6"/>
      <c r="I224" s="6"/>
      <c r="J224" s="6"/>
      <c r="Q224" s="133"/>
      <c r="R224" s="133"/>
      <c r="S224" s="133"/>
      <c r="T224" s="133"/>
      <c r="U224" s="133"/>
      <c r="V224" s="133"/>
      <c r="W224" s="133"/>
      <c r="X224" s="133"/>
    </row>
    <row r="225" spans="2:24" ht="14.25" customHeight="1" x14ac:dyDescent="0.3">
      <c r="B225" s="6"/>
      <c r="C225" s="6"/>
      <c r="D225" s="46"/>
      <c r="G225" s="6"/>
      <c r="H225" s="6"/>
      <c r="I225" s="6"/>
      <c r="J225" s="6"/>
      <c r="Q225" s="133"/>
      <c r="R225" s="133"/>
      <c r="S225" s="133"/>
      <c r="T225" s="133"/>
      <c r="U225" s="133"/>
      <c r="V225" s="133"/>
      <c r="W225" s="133"/>
      <c r="X225" s="133"/>
    </row>
    <row r="226" spans="2:24" ht="14.25" customHeight="1" x14ac:dyDescent="0.3">
      <c r="B226" s="6"/>
      <c r="C226" s="6"/>
      <c r="D226" s="46"/>
      <c r="G226" s="6"/>
      <c r="H226" s="6"/>
      <c r="I226" s="6"/>
      <c r="J226" s="6"/>
      <c r="Q226" s="133"/>
      <c r="R226" s="133"/>
      <c r="S226" s="133"/>
      <c r="T226" s="133"/>
      <c r="U226" s="133"/>
      <c r="V226" s="133"/>
      <c r="W226" s="133"/>
      <c r="X226" s="133"/>
    </row>
    <row r="227" spans="2:24" ht="14.25" customHeight="1" x14ac:dyDescent="0.3">
      <c r="B227" s="6"/>
      <c r="C227" s="6"/>
      <c r="D227" s="46"/>
      <c r="G227" s="6"/>
      <c r="H227" s="6"/>
      <c r="I227" s="6"/>
      <c r="J227" s="6"/>
      <c r="Q227" s="133"/>
      <c r="R227" s="133"/>
      <c r="S227" s="133"/>
      <c r="T227" s="133"/>
      <c r="U227" s="133"/>
      <c r="V227" s="133"/>
      <c r="W227" s="133"/>
      <c r="X227" s="133"/>
    </row>
    <row r="228" spans="2:24" ht="14.25" customHeight="1" x14ac:dyDescent="0.3">
      <c r="B228" s="6"/>
      <c r="C228" s="6"/>
      <c r="D228" s="46"/>
      <c r="G228" s="6"/>
      <c r="H228" s="6"/>
      <c r="I228" s="6"/>
      <c r="J228" s="6"/>
      <c r="Q228" s="133"/>
      <c r="R228" s="133"/>
      <c r="S228" s="133"/>
      <c r="T228" s="133"/>
      <c r="U228" s="133"/>
      <c r="V228" s="133"/>
      <c r="W228" s="133"/>
      <c r="X228" s="133"/>
    </row>
    <row r="229" spans="2:24" ht="14.25" customHeight="1" x14ac:dyDescent="0.3">
      <c r="B229" s="6"/>
      <c r="C229" s="6"/>
      <c r="D229" s="46"/>
      <c r="G229" s="6"/>
      <c r="H229" s="6"/>
      <c r="I229" s="6"/>
      <c r="J229" s="6"/>
      <c r="Q229" s="133"/>
      <c r="R229" s="133"/>
      <c r="S229" s="133"/>
      <c r="T229" s="133"/>
      <c r="U229" s="133"/>
      <c r="V229" s="133"/>
      <c r="W229" s="133"/>
      <c r="X229" s="133"/>
    </row>
    <row r="230" spans="2:24" ht="14.25" customHeight="1" x14ac:dyDescent="0.3">
      <c r="B230" s="6"/>
      <c r="C230" s="6"/>
      <c r="D230" s="46"/>
      <c r="G230" s="6"/>
      <c r="H230" s="6"/>
      <c r="I230" s="6"/>
      <c r="J230" s="6"/>
      <c r="Q230" s="133"/>
      <c r="R230" s="133"/>
      <c r="S230" s="133"/>
      <c r="T230" s="133"/>
      <c r="U230" s="133"/>
      <c r="V230" s="133"/>
      <c r="W230" s="133"/>
      <c r="X230" s="133"/>
    </row>
    <row r="231" spans="2:24" ht="14.25" customHeight="1" x14ac:dyDescent="0.3">
      <c r="B231" s="6"/>
      <c r="C231" s="6"/>
      <c r="D231" s="46"/>
      <c r="G231" s="6"/>
      <c r="H231" s="6"/>
      <c r="I231" s="6"/>
      <c r="J231" s="6"/>
      <c r="Q231" s="133"/>
      <c r="R231" s="133"/>
      <c r="S231" s="133"/>
      <c r="T231" s="133"/>
      <c r="U231" s="133"/>
      <c r="V231" s="133"/>
      <c r="W231" s="133"/>
      <c r="X231" s="133"/>
    </row>
    <row r="232" spans="2:24" ht="14.25" customHeight="1" x14ac:dyDescent="0.3">
      <c r="B232" s="6"/>
      <c r="C232" s="6"/>
      <c r="D232" s="46"/>
      <c r="G232" s="6"/>
      <c r="H232" s="6"/>
      <c r="I232" s="6"/>
      <c r="J232" s="6"/>
      <c r="Q232" s="133"/>
      <c r="R232" s="133"/>
      <c r="S232" s="133"/>
      <c r="T232" s="133"/>
      <c r="U232" s="133"/>
      <c r="V232" s="133"/>
      <c r="W232" s="133"/>
      <c r="X232" s="133"/>
    </row>
    <row r="233" spans="2:24" ht="14.25" customHeight="1" x14ac:dyDescent="0.3">
      <c r="B233" s="6"/>
      <c r="C233" s="6"/>
      <c r="D233" s="46"/>
      <c r="G233" s="6"/>
      <c r="H233" s="6"/>
      <c r="I233" s="6"/>
      <c r="J233" s="6"/>
      <c r="Q233" s="133"/>
      <c r="R233" s="133"/>
      <c r="S233" s="133"/>
      <c r="T233" s="133"/>
      <c r="U233" s="133"/>
      <c r="V233" s="133"/>
      <c r="W233" s="133"/>
      <c r="X233" s="133"/>
    </row>
    <row r="234" spans="2:24" ht="14.25" customHeight="1" x14ac:dyDescent="0.3">
      <c r="B234" s="6"/>
      <c r="C234" s="6"/>
      <c r="D234" s="46"/>
      <c r="G234" s="6"/>
      <c r="H234" s="6"/>
      <c r="I234" s="6"/>
      <c r="J234" s="6"/>
      <c r="Q234" s="133"/>
      <c r="R234" s="133"/>
      <c r="S234" s="133"/>
      <c r="T234" s="133"/>
      <c r="U234" s="133"/>
      <c r="V234" s="133"/>
      <c r="W234" s="133"/>
      <c r="X234" s="133"/>
    </row>
    <row r="235" spans="2:24" ht="14.25" customHeight="1" x14ac:dyDescent="0.3">
      <c r="B235" s="6"/>
      <c r="C235" s="6"/>
      <c r="D235" s="46"/>
      <c r="G235" s="6"/>
      <c r="H235" s="6"/>
      <c r="I235" s="6"/>
      <c r="J235" s="6"/>
      <c r="Q235" s="133"/>
      <c r="R235" s="133"/>
      <c r="S235" s="133"/>
      <c r="T235" s="133"/>
      <c r="U235" s="133"/>
      <c r="V235" s="133"/>
      <c r="W235" s="133"/>
      <c r="X235" s="133"/>
    </row>
    <row r="236" spans="2:24" ht="14.25" customHeight="1" x14ac:dyDescent="0.3">
      <c r="B236" s="6"/>
      <c r="C236" s="6"/>
      <c r="D236" s="46"/>
      <c r="G236" s="6"/>
      <c r="H236" s="6"/>
      <c r="I236" s="6"/>
      <c r="J236" s="6"/>
      <c r="Q236" s="133"/>
      <c r="R236" s="133"/>
      <c r="S236" s="133"/>
      <c r="T236" s="133"/>
      <c r="U236" s="133"/>
      <c r="V236" s="133"/>
      <c r="W236" s="133"/>
      <c r="X236" s="133"/>
    </row>
    <row r="237" spans="2:24" ht="14.25" customHeight="1" x14ac:dyDescent="0.3">
      <c r="B237" s="6"/>
      <c r="C237" s="6"/>
      <c r="D237" s="46"/>
      <c r="G237" s="6"/>
      <c r="H237" s="6"/>
      <c r="I237" s="6"/>
      <c r="J237" s="6"/>
      <c r="Q237" s="133"/>
      <c r="R237" s="133"/>
      <c r="S237" s="133"/>
      <c r="T237" s="133"/>
      <c r="U237" s="133"/>
      <c r="V237" s="133"/>
      <c r="W237" s="133"/>
      <c r="X237" s="133"/>
    </row>
    <row r="238" spans="2:24" ht="14.25" customHeight="1" x14ac:dyDescent="0.3">
      <c r="B238" s="6"/>
      <c r="C238" s="6"/>
      <c r="D238" s="46"/>
      <c r="G238" s="6"/>
      <c r="H238" s="6"/>
      <c r="I238" s="6"/>
      <c r="J238" s="6"/>
      <c r="Q238" s="133"/>
      <c r="R238" s="133"/>
      <c r="S238" s="133"/>
      <c r="T238" s="133"/>
      <c r="U238" s="133"/>
      <c r="V238" s="133"/>
      <c r="W238" s="133"/>
      <c r="X238" s="133"/>
    </row>
    <row r="239" spans="2:24" ht="14.25" customHeight="1" x14ac:dyDescent="0.3">
      <c r="B239" s="6"/>
      <c r="C239" s="6"/>
      <c r="D239" s="46"/>
      <c r="G239" s="6"/>
      <c r="H239" s="6"/>
      <c r="I239" s="6"/>
      <c r="J239" s="6"/>
      <c r="Q239" s="133"/>
      <c r="R239" s="133"/>
      <c r="S239" s="133"/>
      <c r="T239" s="133"/>
      <c r="U239" s="133"/>
      <c r="V239" s="133"/>
      <c r="W239" s="133"/>
      <c r="X239" s="133"/>
    </row>
    <row r="240" spans="2:24" ht="14.25" customHeight="1" x14ac:dyDescent="0.3">
      <c r="B240" s="6"/>
      <c r="C240" s="6"/>
      <c r="D240" s="46"/>
      <c r="G240" s="6"/>
      <c r="H240" s="6"/>
      <c r="I240" s="6"/>
      <c r="J240" s="6"/>
      <c r="Q240" s="133"/>
      <c r="R240" s="133"/>
      <c r="S240" s="133"/>
      <c r="T240" s="133"/>
      <c r="U240" s="133"/>
      <c r="V240" s="133"/>
      <c r="W240" s="133"/>
      <c r="X240" s="133"/>
    </row>
    <row r="241" spans="2:24" ht="14.25" customHeight="1" x14ac:dyDescent="0.3">
      <c r="B241" s="6"/>
      <c r="C241" s="6"/>
      <c r="D241" s="46"/>
      <c r="G241" s="6"/>
      <c r="H241" s="6"/>
      <c r="I241" s="6"/>
      <c r="J241" s="6"/>
      <c r="Q241" s="133"/>
      <c r="R241" s="133"/>
      <c r="S241" s="133"/>
      <c r="T241" s="133"/>
      <c r="U241" s="133"/>
      <c r="V241" s="133"/>
      <c r="W241" s="133"/>
      <c r="X241" s="133"/>
    </row>
    <row r="242" spans="2:24" ht="14.25" customHeight="1" x14ac:dyDescent="0.3">
      <c r="B242" s="6"/>
      <c r="C242" s="6"/>
      <c r="D242" s="46"/>
      <c r="G242" s="6"/>
      <c r="H242" s="6"/>
      <c r="I242" s="6"/>
      <c r="J242" s="6"/>
      <c r="Q242" s="133"/>
      <c r="R242" s="133"/>
      <c r="S242" s="133"/>
      <c r="T242" s="133"/>
      <c r="U242" s="133"/>
      <c r="V242" s="133"/>
      <c r="W242" s="133"/>
      <c r="X242" s="133"/>
    </row>
    <row r="243" spans="2:24" ht="14.25" customHeight="1" x14ac:dyDescent="0.3">
      <c r="B243" s="6"/>
      <c r="C243" s="6"/>
      <c r="D243" s="46"/>
      <c r="G243" s="6"/>
      <c r="H243" s="6"/>
      <c r="I243" s="6"/>
      <c r="J243" s="6"/>
      <c r="Q243" s="133"/>
      <c r="R243" s="133"/>
      <c r="S243" s="133"/>
      <c r="T243" s="133"/>
      <c r="U243" s="133"/>
      <c r="V243" s="133"/>
      <c r="W243" s="133"/>
      <c r="X243" s="133"/>
    </row>
    <row r="244" spans="2:24" ht="14.25" customHeight="1" x14ac:dyDescent="0.3">
      <c r="B244" s="6"/>
      <c r="C244" s="6"/>
      <c r="D244" s="46"/>
      <c r="G244" s="6"/>
      <c r="H244" s="6"/>
      <c r="I244" s="6"/>
      <c r="J244" s="6"/>
      <c r="Q244" s="133"/>
      <c r="R244" s="133"/>
      <c r="S244" s="133"/>
      <c r="T244" s="133"/>
      <c r="U244" s="133"/>
      <c r="V244" s="133"/>
      <c r="W244" s="133"/>
      <c r="X244" s="133"/>
    </row>
    <row r="245" spans="2:24" ht="14.25" customHeight="1" x14ac:dyDescent="0.3">
      <c r="B245" s="6"/>
      <c r="C245" s="6"/>
      <c r="D245" s="46"/>
      <c r="G245" s="6"/>
      <c r="H245" s="6"/>
      <c r="I245" s="6"/>
      <c r="J245" s="6"/>
      <c r="Q245" s="133"/>
      <c r="R245" s="133"/>
      <c r="S245" s="133"/>
      <c r="T245" s="133"/>
      <c r="U245" s="133"/>
      <c r="V245" s="133"/>
      <c r="W245" s="133"/>
      <c r="X245" s="133"/>
    </row>
    <row r="246" spans="2:24" ht="14.25" customHeight="1" x14ac:dyDescent="0.3">
      <c r="B246" s="6"/>
      <c r="C246" s="6"/>
      <c r="D246" s="46"/>
      <c r="G246" s="6"/>
      <c r="H246" s="6"/>
      <c r="I246" s="6"/>
      <c r="J246" s="6"/>
      <c r="Q246" s="133"/>
      <c r="R246" s="133"/>
      <c r="S246" s="133"/>
      <c r="T246" s="133"/>
      <c r="U246" s="133"/>
      <c r="V246" s="133"/>
      <c r="W246" s="133"/>
      <c r="X246" s="133"/>
    </row>
    <row r="247" spans="2:24" ht="14.25" customHeight="1" x14ac:dyDescent="0.3">
      <c r="B247" s="6"/>
      <c r="C247" s="6"/>
      <c r="D247" s="46"/>
      <c r="G247" s="6"/>
      <c r="H247" s="6"/>
      <c r="I247" s="6"/>
      <c r="J247" s="6"/>
      <c r="Q247" s="133"/>
      <c r="R247" s="133"/>
      <c r="S247" s="133"/>
      <c r="T247" s="133"/>
      <c r="U247" s="133"/>
      <c r="V247" s="133"/>
      <c r="W247" s="133"/>
      <c r="X247" s="133"/>
    </row>
    <row r="248" spans="2:24" ht="14.25" customHeight="1" x14ac:dyDescent="0.3">
      <c r="B248" s="6"/>
      <c r="C248" s="6"/>
      <c r="D248" s="46"/>
      <c r="G248" s="6"/>
      <c r="H248" s="6"/>
      <c r="I248" s="6"/>
      <c r="J248" s="6"/>
      <c r="Q248" s="133"/>
      <c r="R248" s="133"/>
      <c r="S248" s="133"/>
      <c r="T248" s="133"/>
      <c r="U248" s="133"/>
      <c r="V248" s="133"/>
      <c r="W248" s="133"/>
      <c r="X248" s="133"/>
    </row>
    <row r="249" spans="2:24" ht="14.25" customHeight="1" x14ac:dyDescent="0.3">
      <c r="B249" s="6"/>
      <c r="C249" s="6"/>
      <c r="D249" s="46"/>
      <c r="G249" s="6"/>
      <c r="H249" s="6"/>
      <c r="I249" s="6"/>
      <c r="J249" s="6"/>
      <c r="Q249" s="133"/>
      <c r="R249" s="133"/>
      <c r="S249" s="133"/>
      <c r="T249" s="133"/>
      <c r="U249" s="133"/>
      <c r="V249" s="133"/>
      <c r="W249" s="133"/>
      <c r="X249" s="133"/>
    </row>
    <row r="250" spans="2:24" ht="14.25" customHeight="1" x14ac:dyDescent="0.3">
      <c r="B250" s="6"/>
      <c r="C250" s="6"/>
      <c r="D250" s="46"/>
      <c r="G250" s="6"/>
      <c r="H250" s="6"/>
      <c r="I250" s="6"/>
      <c r="J250" s="6"/>
      <c r="Q250" s="133"/>
      <c r="R250" s="133"/>
      <c r="S250" s="133"/>
      <c r="T250" s="133"/>
      <c r="U250" s="133"/>
      <c r="V250" s="133"/>
      <c r="W250" s="133"/>
      <c r="X250" s="133"/>
    </row>
    <row r="251" spans="2:24" ht="14.25" customHeight="1" x14ac:dyDescent="0.3">
      <c r="B251" s="6"/>
      <c r="C251" s="6"/>
      <c r="D251" s="46"/>
      <c r="G251" s="6"/>
      <c r="H251" s="6"/>
      <c r="I251" s="6"/>
      <c r="J251" s="6"/>
      <c r="Q251" s="133"/>
      <c r="R251" s="133"/>
      <c r="S251" s="133"/>
      <c r="T251" s="133"/>
      <c r="U251" s="133"/>
      <c r="V251" s="133"/>
      <c r="W251" s="133"/>
      <c r="X251" s="133"/>
    </row>
    <row r="252" spans="2:24" ht="14.25" customHeight="1" x14ac:dyDescent="0.3">
      <c r="B252" s="6"/>
      <c r="C252" s="6"/>
      <c r="D252" s="46"/>
      <c r="G252" s="6"/>
      <c r="H252" s="6"/>
      <c r="I252" s="6"/>
      <c r="J252" s="6"/>
      <c r="Q252" s="133"/>
      <c r="R252" s="133"/>
      <c r="S252" s="133"/>
      <c r="T252" s="133"/>
      <c r="U252" s="133"/>
      <c r="V252" s="133"/>
      <c r="W252" s="133"/>
      <c r="X252" s="133"/>
    </row>
    <row r="253" spans="2:24" ht="14.25" customHeight="1" x14ac:dyDescent="0.3">
      <c r="B253" s="6"/>
      <c r="C253" s="6"/>
      <c r="D253" s="46"/>
      <c r="G253" s="6"/>
      <c r="H253" s="6"/>
      <c r="I253" s="6"/>
      <c r="J253" s="6"/>
      <c r="Q253" s="133"/>
      <c r="R253" s="133"/>
      <c r="S253" s="133"/>
      <c r="T253" s="133"/>
      <c r="U253" s="133"/>
      <c r="V253" s="133"/>
      <c r="W253" s="133"/>
      <c r="X253" s="133"/>
    </row>
    <row r="254" spans="2:24" ht="14.25" customHeight="1" x14ac:dyDescent="0.3">
      <c r="B254" s="6"/>
      <c r="C254" s="6"/>
      <c r="D254" s="46"/>
      <c r="G254" s="6"/>
      <c r="H254" s="6"/>
      <c r="I254" s="6"/>
      <c r="J254" s="6"/>
      <c r="Q254" s="133"/>
      <c r="R254" s="133"/>
      <c r="S254" s="133"/>
      <c r="T254" s="133"/>
      <c r="U254" s="133"/>
      <c r="V254" s="133"/>
      <c r="W254" s="133"/>
      <c r="X254" s="133"/>
    </row>
    <row r="255" spans="2:24" ht="14.25" customHeight="1" x14ac:dyDescent="0.3">
      <c r="B255" s="6"/>
      <c r="C255" s="6"/>
      <c r="D255" s="46"/>
      <c r="G255" s="6"/>
      <c r="H255" s="6"/>
      <c r="I255" s="6"/>
      <c r="J255" s="6"/>
      <c r="Q255" s="133"/>
      <c r="R255" s="133"/>
      <c r="S255" s="133"/>
      <c r="T255" s="133"/>
      <c r="U255" s="133"/>
      <c r="V255" s="133"/>
      <c r="W255" s="133"/>
      <c r="X255" s="133"/>
    </row>
    <row r="256" spans="2:24" ht="14.25" customHeight="1" x14ac:dyDescent="0.3">
      <c r="B256" s="6"/>
      <c r="C256" s="6"/>
      <c r="D256" s="46"/>
      <c r="G256" s="6"/>
      <c r="H256" s="6"/>
      <c r="I256" s="6"/>
      <c r="J256" s="6"/>
      <c r="Q256" s="133"/>
      <c r="R256" s="133"/>
      <c r="S256" s="133"/>
      <c r="T256" s="133"/>
      <c r="U256" s="133"/>
      <c r="V256" s="133"/>
      <c r="W256" s="133"/>
      <c r="X256" s="133"/>
    </row>
    <row r="257" spans="2:24" ht="14.25" customHeight="1" x14ac:dyDescent="0.3">
      <c r="B257" s="6"/>
      <c r="C257" s="6"/>
      <c r="D257" s="46"/>
      <c r="G257" s="6"/>
      <c r="H257" s="6"/>
      <c r="I257" s="6"/>
      <c r="J257" s="6"/>
      <c r="Q257" s="133"/>
      <c r="R257" s="133"/>
      <c r="S257" s="133"/>
      <c r="T257" s="133"/>
      <c r="U257" s="133"/>
      <c r="V257" s="133"/>
      <c r="W257" s="133"/>
      <c r="X257" s="133"/>
    </row>
    <row r="258" spans="2:24" ht="14.25" customHeight="1" x14ac:dyDescent="0.3">
      <c r="B258" s="6"/>
      <c r="C258" s="6"/>
      <c r="D258" s="46"/>
      <c r="G258" s="6"/>
      <c r="H258" s="6"/>
      <c r="I258" s="6"/>
      <c r="J258" s="6"/>
      <c r="Q258" s="133"/>
      <c r="R258" s="133"/>
      <c r="S258" s="133"/>
      <c r="T258" s="133"/>
      <c r="U258" s="133"/>
      <c r="V258" s="133"/>
      <c r="W258" s="133"/>
      <c r="X258" s="133"/>
    </row>
    <row r="259" spans="2:24" ht="14.25" customHeight="1" x14ac:dyDescent="0.3">
      <c r="B259" s="6"/>
      <c r="C259" s="6"/>
      <c r="D259" s="46"/>
      <c r="G259" s="6"/>
      <c r="H259" s="6"/>
      <c r="I259" s="6"/>
      <c r="J259" s="6"/>
      <c r="Q259" s="133"/>
      <c r="R259" s="133"/>
      <c r="S259" s="133"/>
      <c r="T259" s="133"/>
      <c r="U259" s="133"/>
      <c r="V259" s="133"/>
      <c r="W259" s="133"/>
      <c r="X259" s="133"/>
    </row>
    <row r="260" spans="2:24" ht="14.25" customHeight="1" x14ac:dyDescent="0.3">
      <c r="B260" s="6"/>
      <c r="C260" s="6"/>
      <c r="D260" s="46"/>
      <c r="G260" s="6"/>
      <c r="H260" s="6"/>
      <c r="I260" s="6"/>
      <c r="J260" s="6"/>
      <c r="Q260" s="133"/>
      <c r="R260" s="133"/>
      <c r="S260" s="133"/>
      <c r="T260" s="133"/>
      <c r="U260" s="133"/>
      <c r="V260" s="133"/>
      <c r="W260" s="133"/>
      <c r="X260" s="133"/>
    </row>
    <row r="261" spans="2:24" ht="14.25" customHeight="1" x14ac:dyDescent="0.3">
      <c r="Q261" s="133"/>
      <c r="R261" s="133"/>
      <c r="S261" s="133"/>
      <c r="T261" s="133"/>
      <c r="U261" s="133"/>
      <c r="V261" s="133"/>
      <c r="W261" s="133"/>
      <c r="X261" s="133"/>
    </row>
  </sheetData>
  <sheetProtection algorithmName="SHA-512" hashValue="c4L3vWFeHIRhR/oxbP5w2shjegUJ1bKNV2OKtUD65ZN7omyl9YLZmrGEeEpHZxQ7dHlo1O2YPhqTPE2BvON/Pw==" saltValue="2fmpLbKV6KmbYXA4C78XTg==" spinCount="100000" sheet="1" objects="1" scenarios="1"/>
  <mergeCells count="6">
    <mergeCell ref="M2:X2"/>
    <mergeCell ref="B4:C5"/>
    <mergeCell ref="D4:K4"/>
    <mergeCell ref="D5:E5"/>
    <mergeCell ref="F5:H5"/>
    <mergeCell ref="I5:K5"/>
  </mergeCells>
  <phoneticPr fontId="6" type="noConversion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V100"/>
  <sheetViews>
    <sheetView topLeftCell="O1" workbookViewId="0">
      <selection activeCell="T31" sqref="T31"/>
    </sheetView>
  </sheetViews>
  <sheetFormatPr defaultColWidth="14.44140625" defaultRowHeight="15" customHeight="1" x14ac:dyDescent="0.3"/>
  <cols>
    <col min="1" max="6" width="8.6640625" customWidth="1"/>
  </cols>
  <sheetData>
    <row r="1" spans="2:20" ht="14.25" customHeight="1" x14ac:dyDescent="0.3"/>
    <row r="2" spans="2:20" ht="14.25" customHeight="1" thickBot="1" x14ac:dyDescent="0.35"/>
    <row r="3" spans="2:20" ht="14.25" customHeight="1" x14ac:dyDescent="0.3">
      <c r="B3" s="64" t="s">
        <v>120</v>
      </c>
      <c r="C3" s="85"/>
      <c r="D3" s="86"/>
    </row>
    <row r="4" spans="2:20" ht="14.25" customHeight="1" x14ac:dyDescent="0.3">
      <c r="B4" s="31"/>
      <c r="C4" s="71"/>
      <c r="D4" s="70"/>
    </row>
    <row r="5" spans="2:20" ht="14.25" customHeight="1" x14ac:dyDescent="0.3">
      <c r="B5" s="12" t="s">
        <v>127</v>
      </c>
      <c r="C5" s="6" t="s">
        <v>128</v>
      </c>
      <c r="D5" s="13" t="s">
        <v>129</v>
      </c>
    </row>
    <row r="6" spans="2:20" ht="14.25" customHeight="1" thickBot="1" x14ac:dyDescent="0.35">
      <c r="B6" s="89" t="s">
        <v>176</v>
      </c>
      <c r="C6" s="40" t="e">
        <f>IF(B6=_xlfn.XLOOKUP(B6, 'Table Reference'!#REF!, 'Table Reference'!#REF!, "-",0), VLOOKUP(B6, 'Table Reference'!#REF!, 2,FALSE), "-")</f>
        <v>#REF!</v>
      </c>
      <c r="D6" s="109" t="e">
        <f>IF(COUNTIF('Table Reference'!#REF!, C6) &gt; 0, VLOOKUP(C6, 'Table Reference'!#REF!, 2,FALSE), "-")</f>
        <v>#REF!</v>
      </c>
      <c r="G6" t="s">
        <v>468</v>
      </c>
    </row>
    <row r="7" spans="2:20" ht="14.25" customHeight="1" x14ac:dyDescent="0.3">
      <c r="G7" t="s">
        <v>469</v>
      </c>
    </row>
    <row r="8" spans="2:20" ht="14.25" customHeight="1" x14ac:dyDescent="0.3">
      <c r="G8" t="s">
        <v>470</v>
      </c>
    </row>
    <row r="9" spans="2:20" ht="14.25" customHeight="1" x14ac:dyDescent="0.3">
      <c r="G9" t="s">
        <v>471</v>
      </c>
    </row>
    <row r="10" spans="2:20" ht="14.25" customHeight="1" x14ac:dyDescent="0.3">
      <c r="G10" t="s">
        <v>472</v>
      </c>
    </row>
    <row r="11" spans="2:20" ht="14.25" customHeight="1" x14ac:dyDescent="0.3">
      <c r="G11" t="s">
        <v>473</v>
      </c>
    </row>
    <row r="12" spans="2:20" ht="14.25" customHeight="1" x14ac:dyDescent="0.3">
      <c r="G12" t="s">
        <v>474</v>
      </c>
    </row>
    <row r="13" spans="2:20" ht="14.25" customHeight="1" x14ac:dyDescent="0.3">
      <c r="G13" t="s">
        <v>475</v>
      </c>
    </row>
    <row r="14" spans="2:20" ht="14.25" customHeight="1" x14ac:dyDescent="0.3">
      <c r="G14" t="s">
        <v>476</v>
      </c>
      <c r="Q14" s="289"/>
      <c r="R14" s="147"/>
      <c r="S14" s="147"/>
      <c r="T14" s="147"/>
    </row>
    <row r="15" spans="2:20" ht="14.25" customHeight="1" x14ac:dyDescent="0.3">
      <c r="G15" t="s">
        <v>477</v>
      </c>
      <c r="Q15" s="147"/>
      <c r="R15" s="157"/>
      <c r="S15" s="147"/>
      <c r="T15" s="158"/>
    </row>
    <row r="16" spans="2:20" ht="14.25" customHeight="1" x14ac:dyDescent="0.3">
      <c r="G16" t="s">
        <v>478</v>
      </c>
      <c r="Q16" s="147"/>
      <c r="R16" s="157"/>
      <c r="S16" s="147"/>
      <c r="T16" s="158"/>
    </row>
    <row r="17" spans="7:22" ht="14.25" customHeight="1" x14ac:dyDescent="0.3">
      <c r="G17" t="s">
        <v>479</v>
      </c>
      <c r="Q17" s="147"/>
      <c r="R17" s="157"/>
      <c r="S17" s="147"/>
      <c r="T17" s="158"/>
    </row>
    <row r="18" spans="7:22" ht="14.25" customHeight="1" x14ac:dyDescent="0.3">
      <c r="G18" t="s">
        <v>480</v>
      </c>
      <c r="Q18" s="158"/>
      <c r="S18" s="158"/>
    </row>
    <row r="19" spans="7:22" ht="14.25" customHeight="1" x14ac:dyDescent="0.3">
      <c r="G19" t="s">
        <v>481</v>
      </c>
      <c r="Q19" s="158"/>
      <c r="S19" s="158"/>
      <c r="V19" s="331"/>
    </row>
    <row r="20" spans="7:22" ht="14.25" customHeight="1" x14ac:dyDescent="0.3">
      <c r="G20" t="s">
        <v>482</v>
      </c>
    </row>
    <row r="21" spans="7:22" ht="14.25" customHeight="1" x14ac:dyDescent="0.3">
      <c r="G21" t="s">
        <v>483</v>
      </c>
    </row>
    <row r="22" spans="7:22" ht="14.25" customHeight="1" x14ac:dyDescent="0.3">
      <c r="G22" t="s">
        <v>484</v>
      </c>
    </row>
    <row r="23" spans="7:22" ht="14.25" customHeight="1" x14ac:dyDescent="0.3">
      <c r="G23" t="s">
        <v>485</v>
      </c>
    </row>
    <row r="24" spans="7:22" ht="14.25" customHeight="1" x14ac:dyDescent="0.3">
      <c r="G24" t="s">
        <v>486</v>
      </c>
    </row>
    <row r="25" spans="7:22" ht="14.25" customHeight="1" x14ac:dyDescent="0.3">
      <c r="G25" t="s">
        <v>487</v>
      </c>
    </row>
    <row r="26" spans="7:22" ht="14.25" customHeight="1" x14ac:dyDescent="0.3">
      <c r="G26" t="s">
        <v>488</v>
      </c>
    </row>
    <row r="27" spans="7:22" ht="14.25" customHeight="1" x14ac:dyDescent="0.3">
      <c r="G27" t="s">
        <v>489</v>
      </c>
    </row>
    <row r="28" spans="7:22" ht="14.25" customHeight="1" x14ac:dyDescent="0.3">
      <c r="G28" t="s">
        <v>490</v>
      </c>
    </row>
    <row r="29" spans="7:22" ht="14.25" customHeight="1" x14ac:dyDescent="0.3">
      <c r="G29" t="s">
        <v>491</v>
      </c>
    </row>
    <row r="30" spans="7:22" ht="14.25" customHeight="1" x14ac:dyDescent="0.3">
      <c r="G30" t="s">
        <v>492</v>
      </c>
    </row>
    <row r="31" spans="7:22" ht="14.25" customHeight="1" x14ac:dyDescent="0.3">
      <c r="G31" t="s">
        <v>493</v>
      </c>
    </row>
    <row r="32" spans="7:22" ht="14.25" customHeight="1" x14ac:dyDescent="0.3">
      <c r="G32" t="s">
        <v>494</v>
      </c>
    </row>
    <row r="33" spans="7:17" ht="14.25" customHeight="1" x14ac:dyDescent="0.3">
      <c r="G33" t="s">
        <v>495</v>
      </c>
    </row>
    <row r="34" spans="7:17" ht="14.25" customHeight="1" x14ac:dyDescent="0.3">
      <c r="G34" t="s">
        <v>496</v>
      </c>
    </row>
    <row r="35" spans="7:17" ht="14.25" customHeight="1" x14ac:dyDescent="0.3">
      <c r="G35" t="s">
        <v>497</v>
      </c>
    </row>
    <row r="36" spans="7:17" ht="14.25" customHeight="1" x14ac:dyDescent="0.3">
      <c r="G36" t="s">
        <v>498</v>
      </c>
    </row>
    <row r="37" spans="7:17" ht="14.25" customHeight="1" x14ac:dyDescent="0.3">
      <c r="G37" t="s">
        <v>499</v>
      </c>
      <c r="Q37" t="str">
        <f>_xlfn.IFNA(IF(R23&lt;=INDEX(Q15:T17, MATCH(Q23,S15:S17,0), 1), "Pass", "Fail"), "-")</f>
        <v>-</v>
      </c>
    </row>
    <row r="38" spans="7:17" ht="14.25" customHeight="1" x14ac:dyDescent="0.3">
      <c r="G38" t="s">
        <v>500</v>
      </c>
    </row>
    <row r="39" spans="7:17" ht="14.25" customHeight="1" x14ac:dyDescent="0.3">
      <c r="G39" t="s">
        <v>501</v>
      </c>
    </row>
    <row r="40" spans="7:17" ht="14.25" customHeight="1" x14ac:dyDescent="0.3">
      <c r="G40" t="s">
        <v>502</v>
      </c>
    </row>
    <row r="41" spans="7:17" ht="14.25" customHeight="1" x14ac:dyDescent="0.3">
      <c r="G41" t="s">
        <v>503</v>
      </c>
    </row>
    <row r="42" spans="7:17" ht="14.25" customHeight="1" x14ac:dyDescent="0.3">
      <c r="G42" t="s">
        <v>504</v>
      </c>
    </row>
    <row r="43" spans="7:17" ht="14.25" customHeight="1" x14ac:dyDescent="0.3">
      <c r="G43" t="s">
        <v>505</v>
      </c>
    </row>
    <row r="44" spans="7:17" ht="14.25" customHeight="1" x14ac:dyDescent="0.3">
      <c r="G44" t="s">
        <v>506</v>
      </c>
    </row>
    <row r="45" spans="7:17" ht="14.25" customHeight="1" x14ac:dyDescent="0.3">
      <c r="G45" t="s">
        <v>507</v>
      </c>
    </row>
    <row r="46" spans="7:17" ht="14.25" customHeight="1" x14ac:dyDescent="0.3">
      <c r="G46" t="s">
        <v>508</v>
      </c>
    </row>
    <row r="47" spans="7:17" ht="14.25" customHeight="1" x14ac:dyDescent="0.3">
      <c r="G47" t="s">
        <v>509</v>
      </c>
    </row>
    <row r="48" spans="7:17" ht="14.25" customHeight="1" x14ac:dyDescent="0.3">
      <c r="G48" t="s">
        <v>510</v>
      </c>
    </row>
    <row r="49" spans="7:7" ht="14.25" customHeight="1" x14ac:dyDescent="0.3">
      <c r="G49" t="s">
        <v>511</v>
      </c>
    </row>
    <row r="50" spans="7:7" ht="14.25" customHeight="1" x14ac:dyDescent="0.3">
      <c r="G50" t="s">
        <v>512</v>
      </c>
    </row>
    <row r="51" spans="7:7" ht="14.25" customHeight="1" x14ac:dyDescent="0.3">
      <c r="G51" t="s">
        <v>513</v>
      </c>
    </row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>
      <c r="G60" t="s">
        <v>522</v>
      </c>
    </row>
    <row r="61" spans="7:7" ht="14.25" customHeight="1" x14ac:dyDescent="0.3">
      <c r="G61" t="s">
        <v>523</v>
      </c>
    </row>
    <row r="62" spans="7:7" ht="14.25" customHeight="1" x14ac:dyDescent="0.3">
      <c r="G62" t="s">
        <v>524</v>
      </c>
    </row>
    <row r="63" spans="7:7" ht="14.25" customHeight="1" x14ac:dyDescent="0.3">
      <c r="G63" t="s">
        <v>525</v>
      </c>
    </row>
    <row r="64" spans="7:7" ht="14.25" customHeight="1" x14ac:dyDescent="0.3">
      <c r="G64" t="s">
        <v>526</v>
      </c>
    </row>
    <row r="65" spans="7:7" ht="14.25" customHeight="1" x14ac:dyDescent="0.3">
      <c r="G65" t="s">
        <v>527</v>
      </c>
    </row>
    <row r="66" spans="7:7" ht="14.25" customHeight="1" x14ac:dyDescent="0.3">
      <c r="G66" t="s">
        <v>528</v>
      </c>
    </row>
    <row r="67" spans="7:7" ht="14.25" customHeight="1" x14ac:dyDescent="0.3">
      <c r="G67" t="s">
        <v>529</v>
      </c>
    </row>
    <row r="68" spans="7:7" ht="14.25" customHeight="1" x14ac:dyDescent="0.3">
      <c r="G68" t="s">
        <v>530</v>
      </c>
    </row>
    <row r="69" spans="7:7" ht="14.25" customHeight="1" x14ac:dyDescent="0.3">
      <c r="G69" t="s">
        <v>531</v>
      </c>
    </row>
    <row r="70" spans="7:7" ht="14.25" customHeight="1" x14ac:dyDescent="0.3">
      <c r="G70" t="s">
        <v>532</v>
      </c>
    </row>
    <row r="71" spans="7:7" ht="14.25" customHeight="1" x14ac:dyDescent="0.3">
      <c r="G71" t="s">
        <v>533</v>
      </c>
    </row>
    <row r="72" spans="7:7" ht="14.25" customHeight="1" x14ac:dyDescent="0.3">
      <c r="G72" t="s">
        <v>534</v>
      </c>
    </row>
    <row r="73" spans="7:7" ht="14.25" customHeight="1" x14ac:dyDescent="0.3">
      <c r="G73" t="s">
        <v>535</v>
      </c>
    </row>
    <row r="74" spans="7:7" ht="14.25" customHeight="1" x14ac:dyDescent="0.3">
      <c r="G74" t="s">
        <v>536</v>
      </c>
    </row>
    <row r="75" spans="7:7" ht="14.25" customHeight="1" x14ac:dyDescent="0.3"/>
    <row r="76" spans="7:7" ht="14.25" customHeight="1" x14ac:dyDescent="0.3"/>
    <row r="77" spans="7:7" ht="14.25" customHeight="1" x14ac:dyDescent="0.3"/>
    <row r="78" spans="7:7" ht="14.25" customHeight="1" x14ac:dyDescent="0.3"/>
    <row r="79" spans="7:7" ht="14.25" customHeight="1" x14ac:dyDescent="0.3"/>
    <row r="80" spans="7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 Sched</vt:lpstr>
      <vt:lpstr>Other Computation</vt:lpstr>
      <vt:lpstr>Wiring Code</vt:lpstr>
      <vt:lpstr>Voltage Drop</vt:lpstr>
      <vt:lpstr>Short Circuit Analysis</vt:lpstr>
      <vt:lpstr>Table Reference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Zegy Torres</dc:creator>
  <cp:lastModifiedBy>Zegy Torres</cp:lastModifiedBy>
  <dcterms:created xsi:type="dcterms:W3CDTF">2025-12-25T14:21:03Z</dcterms:created>
  <dcterms:modified xsi:type="dcterms:W3CDTF">2026-02-08T05:55:17Z</dcterms:modified>
</cp:coreProperties>
</file>